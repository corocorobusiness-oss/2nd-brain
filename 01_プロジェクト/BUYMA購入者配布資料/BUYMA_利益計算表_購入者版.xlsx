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6dcbeca5d045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利益計算" sheetId="1" r:id="Rf2e3afd8c4e84b4e"/>
    <x:sheet xmlns:r="http://schemas.openxmlformats.org/officeDocument/2006/relationships" name="設定" sheetId="2" r:id="R9678a37eba99482f"/>
    <x:sheet xmlns:r="http://schemas.openxmlformats.org/officeDocument/2006/relationships" name="使い方" sheetId="3" r:id="Re1430d999a5e42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0.0%"/>
    <x:numFmt numFmtId="203" formatCode="yyyy-mm-dd"/>
  </x:numFmts>
  <x:fonts count="9">
    <x:font>
      <x:sz val="11"/>
      <x:name val="Carlito"/>
    </x:font>
    <x:font>
      <x:b/>
      <x:sz val="16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1"/>
      <x:color rgb="FF5F6B76"/>
      <x:name val="Yu Gothic"/>
    </x:font>
    <x:font>
      <x:b/>
      <x:sz val="18"/>
      <x:color rgb="FFFFFFFF"/>
      <x:name val="Yu Mincho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FFDF4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EAF3F8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 wrapText="1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200" fontId="7" fillId="4" borderId="1" xfId="0" applyNumberFormat="1" applyFont="1" applyFill="1" applyBorder="1" applyAlignment="1">
      <x:alignment vertical="center"/>
    </x:xf>
    <x:xf numFmtId="200" fontId="7" fillId="7" borderId="1" xfId="0" applyNumberFormat="1" applyFont="1" applyFill="1" applyBorder="1" applyAlignment="1">
      <x:alignment vertical="center"/>
    </x:xf>
    <x:xf numFmtId="201" fontId="7" fillId="7" borderId="1" xfId="0" applyNumberFormat="1" applyFont="1" applyFill="1" applyBorder="1" applyAlignment="1">
      <x:alignment vertical="center"/>
    </x:xf>
    <x:xf numFmtId="202" fontId="7" fillId="7" borderId="1" xfId="0" applyNumberFormat="1" applyFont="1" applyFill="1" applyBorder="1" applyAlignment="1">
      <x:alignment vertical="center"/>
    </x:xf>
    <x:xf numFmtId="203" fontId="7" fillId="4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1cab10ba4546e3" /><Relationship Type="http://schemas.openxmlformats.org/officeDocument/2006/relationships/theme" Target="/xl/theme/theme1.xml" Id="R1d079d8b768d44cf" /><Relationship Type="http://schemas.openxmlformats.org/officeDocument/2006/relationships/sharedStrings" Target="/xl/sharedStrings.xml" Id="R38ba78e4b97947f6" /><Relationship Type="http://schemas.openxmlformats.org/officeDocument/2006/relationships/worksheet" Target="/xl/worksheets/sheet1.xml" Id="Rf2e3afd8c4e84b4e" /><Relationship Type="http://schemas.openxmlformats.org/officeDocument/2006/relationships/worksheet" Target="/xl/worksheets/sheet2.xml" Id="R9678a37eba99482f" /><Relationship Type="http://schemas.openxmlformats.org/officeDocument/2006/relationships/worksheet" Target="/xl/worksheets/sheet3.xml" Id="Re1430d999a5e427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14" hidden="0" customWidth="1"/>
    <x:col min="4" max="4" width="17" hidden="0" customWidth="1"/>
    <x:col min="5" max="5" width="14" hidden="0" customWidth="1"/>
    <x:col min="6" max="6" width="16" hidden="0" customWidth="1"/>
    <x:col min="7" max="7" width="14" hidden="0" customWidth="1"/>
    <x:col min="8" max="8" width="14" hidden="0" customWidth="1"/>
    <x:col min="9" max="9" width="13" hidden="0" customWidth="1"/>
    <x:col min="10" max="10" width="18" hidden="0" customWidth="1"/>
    <x:col min="11" max="11" width="13" hidden="0" customWidth="1"/>
    <x:col min="12" max="12" width="16" hidden="0" customWidth="1"/>
    <x:col min="13" max="13" width="13" hidden="0" customWidth="1"/>
    <x:col min="14" max="14" width="14" hidden="0" customWidth="1"/>
    <x:col min="15" max="15" width="16" hidden="0" customWidth="1"/>
    <x:col min="16" max="16" width="14" hidden="0" customWidth="1"/>
    <x:col min="17" max="17" width="12" hidden="0" customWidth="1"/>
    <x:col min="18" max="18" width="12" hidden="0" customWidth="1"/>
    <x:col min="19" max="19" width="13" hidden="0" customWidth="1"/>
    <x:col min="20" max="20" width="36" hidden="0" customWidth="1"/>
  </x:cols>
  <x:sheetData>
    <x:row r="1" ht="32" customHeight="1">
      <x:c r="A1" s="21" t="str">
        <x:v>BUYMA 利益計算表 購入者版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  <x:c r="L1" s="21"/>
      <x:c r="M1" s="21"/>
      <x:c r="N1" s="21"/>
      <x:c r="O1" s="21"/>
      <x:c r="P1" s="21"/>
      <x:c r="Q1" s="21"/>
      <x:c r="R1" s="21"/>
      <x:c r="S1" s="21"/>
      <x:c r="T1" s="21"/>
    </x:row>
    <x:row r="2" ht="34" customHeight="1">
      <x:c r="A2" s="24" t="str">
        <x:v>販売価格・仕入・送料・税・手数料・外注費を商品単位で入力。水色は自動計算です。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</x:row>
    <x:row r="4" ht="42" customHeight="1">
      <x:c r="A4" s="32" t="str">
        <x:v>管理番号</x:v>
      </x:c>
      <x:c r="B4" s="32" t="str">
        <x:v>商品名</x:v>
      </x:c>
      <x:c r="C4" s="32" t="str">
        <x:v>販売価格(JPY)</x:v>
      </x:c>
      <x:c r="D4" s="32" t="str">
        <x:v>商品代金(現地通貨)</x:v>
      </x:c>
      <x:c r="E4" s="32" t="str">
        <x:v>為替レート(JPY)</x:v>
      </x:c>
      <x:c r="F4" s="32" t="str">
        <x:v>商品代金円換算</x:v>
      </x:c>
      <x:c r="G4" s="32" t="str">
        <x:v>現地送料(JPY)</x:v>
      </x:c>
      <x:c r="H4" s="32" t="str">
        <x:v>国際送料(JPY)</x:v>
      </x:c>
      <x:c r="I4" s="32" t="str">
        <x:v>関税等(JPY)</x:v>
      </x:c>
      <x:c r="J4" s="32" t="str">
        <x:v>決済・送金手数料(JPY)</x:v>
      </x:c>
      <x:c r="K4" s="32" t="str">
        <x:v>成約手数料率</x:v>
      </x:c>
      <x:c r="L4" s="32" t="str">
        <x:v>成約手数料(JPY)</x:v>
      </x:c>
      <x:c r="M4" s="32" t="str">
        <x:v>外注費(JPY)</x:v>
      </x:c>
      <x:c r="N4" s="32" t="str">
        <x:v>その他経費(JPY)</x:v>
      </x:c>
      <x:c r="O4" s="32" t="str">
        <x:v>総コスト(JPY)</x:v>
      </x:c>
      <x:c r="P4" s="32" t="str">
        <x:v>利益(JPY)</x:v>
      </x:c>
      <x:c r="Q4" s="32" t="str">
        <x:v>利益率</x:v>
      </x:c>
      <x:c r="R4" s="32" t="str">
        <x:v>判定</x:v>
      </x:c>
      <x:c r="S4" s="32" t="str">
        <x:v>確認日</x:v>
      </x:c>
      <x:c r="T4" s="32" t="str">
        <x:v>根拠URL・メモ</x:v>
      </x:c>
    </x:row>
    <x:row r="5">
      <x:c r="A5" s="33"/>
      <x:c r="B5" s="33"/>
      <x:c r="C5" s="35"/>
      <x:c r="D5" s="35"/>
      <x:c r="E5" s="35"/>
      <x:c r="F5" s="36" t="str">
        <x:f>IF(OR(D5="",E5=""),"",D5*E5)</x:f>
      </x:c>
      <x:c r="G5" s="35"/>
      <x:c r="H5" s="35"/>
      <x:c r="I5" s="35"/>
      <x:c r="J5" s="35"/>
      <x:c r="K5" s="37" t="str">
        <x:f>IF(OR(C5="",'設定'!$B$4=""),"",'設定'!$B$4)</x:f>
      </x:c>
      <x:c r="L5" s="36" t="str">
        <x:f>IF(OR(C5="",K5=""),"",C5*K5)</x:f>
      </x:c>
      <x:c r="M5" s="35"/>
      <x:c r="N5" s="35"/>
      <x:c r="O5" s="36" t="str">
        <x:f>IF(OR(C5="",F5="",L5=""),"",SUM(F5:J5,L5:N5))</x:f>
      </x:c>
      <x:c r="P5" s="36" t="str">
        <x:f>IF(O5="","",C5-O5)</x:f>
      </x:c>
      <x:c r="Q5" s="38" t="str">
        <x:f>IF(OR(C5="",C5=0,P5=""),"",P5/C5)</x:f>
      </x:c>
      <x:c r="R5" s="34" t="str">
        <x:f>IF(A5="","",IF(OR(F5="",K5=""),"STOP: 未入力",IF(P5&lt;=0,"STOP: 利益なし","要確認")))</x:f>
      </x:c>
      <x:c r="S5" s="39"/>
      <x:c r="T5" s="33"/>
    </x:row>
    <x:row r="6">
      <x:c r="A6" s="33"/>
      <x:c r="B6" s="33"/>
      <x:c r="C6" s="35"/>
      <x:c r="D6" s="35"/>
      <x:c r="E6" s="35"/>
      <x:c r="F6" s="36" t="str">
        <x:f>IF(OR(D6="",E6=""),"",D6*E6)</x:f>
      </x:c>
      <x:c r="G6" s="35"/>
      <x:c r="H6" s="35"/>
      <x:c r="I6" s="35"/>
      <x:c r="J6" s="35"/>
      <x:c r="K6" s="37" t="str">
        <x:f>IF(OR(C6="",'設定'!$B$4=""),"",'設定'!$B$4)</x:f>
      </x:c>
      <x:c r="L6" s="36" t="str">
        <x:f>IF(OR(C6="",K6=""),"",C6*K6)</x:f>
      </x:c>
      <x:c r="M6" s="35"/>
      <x:c r="N6" s="35"/>
      <x:c r="O6" s="36" t="str">
        <x:f>IF(OR(C6="",F6="",L6=""),"",SUM(F6:J6,L6:N6))</x:f>
      </x:c>
      <x:c r="P6" s="36" t="str">
        <x:f>IF(O6="","",C6-O6)</x:f>
      </x:c>
      <x:c r="Q6" s="38" t="str">
        <x:f>IF(OR(C6="",C6=0,P6=""),"",P6/C6)</x:f>
      </x:c>
      <x:c r="R6" s="34" t="str">
        <x:f>IF(A6="","",IF(OR(F6="",K6=""),"STOP: 未入力",IF(P6&lt;=0,"STOP: 利益なし","要確認")))</x:f>
      </x:c>
      <x:c r="S6" s="39"/>
      <x:c r="T6" s="33"/>
    </x:row>
    <x:row r="7">
      <x:c r="A7" s="33"/>
      <x:c r="B7" s="33"/>
      <x:c r="C7" s="35"/>
      <x:c r="D7" s="35"/>
      <x:c r="E7" s="35"/>
      <x:c r="F7" s="36" t="str">
        <x:f>IF(OR(D7="",E7=""),"",D7*E7)</x:f>
      </x:c>
      <x:c r="G7" s="35"/>
      <x:c r="H7" s="35"/>
      <x:c r="I7" s="35"/>
      <x:c r="J7" s="35"/>
      <x:c r="K7" s="37" t="str">
        <x:f>IF(OR(C7="",'設定'!$B$4=""),"",'設定'!$B$4)</x:f>
      </x:c>
      <x:c r="L7" s="36" t="str">
        <x:f>IF(OR(C7="",K7=""),"",C7*K7)</x:f>
      </x:c>
      <x:c r="M7" s="35"/>
      <x:c r="N7" s="35"/>
      <x:c r="O7" s="36" t="str">
        <x:f>IF(OR(C7="",F7="",L7=""),"",SUM(F7:J7,L7:N7))</x:f>
      </x:c>
      <x:c r="P7" s="36" t="str">
        <x:f>IF(O7="","",C7-O7)</x:f>
      </x:c>
      <x:c r="Q7" s="38" t="str">
        <x:f>IF(OR(C7="",C7=0,P7=""),"",P7/C7)</x:f>
      </x:c>
      <x:c r="R7" s="34" t="str">
        <x:f>IF(A7="","",IF(OR(F7="",K7=""),"STOP: 未入力",IF(P7&lt;=0,"STOP: 利益なし","要確認")))</x:f>
      </x:c>
      <x:c r="S7" s="39"/>
      <x:c r="T7" s="33"/>
    </x:row>
    <x:row r="8">
      <x:c r="A8" s="33"/>
      <x:c r="B8" s="33"/>
      <x:c r="C8" s="35"/>
      <x:c r="D8" s="35"/>
      <x:c r="E8" s="35"/>
      <x:c r="F8" s="36" t="str">
        <x:f>IF(OR(D8="",E8=""),"",D8*E8)</x:f>
      </x:c>
      <x:c r="G8" s="35"/>
      <x:c r="H8" s="35"/>
      <x:c r="I8" s="35"/>
      <x:c r="J8" s="35"/>
      <x:c r="K8" s="37" t="str">
        <x:f>IF(OR(C8="",'設定'!$B$4=""),"",'設定'!$B$4)</x:f>
      </x:c>
      <x:c r="L8" s="36" t="str">
        <x:f>IF(OR(C8="",K8=""),"",C8*K8)</x:f>
      </x:c>
      <x:c r="M8" s="35"/>
      <x:c r="N8" s="35"/>
      <x:c r="O8" s="36" t="str">
        <x:f>IF(OR(C8="",F8="",L8=""),"",SUM(F8:J8,L8:N8))</x:f>
      </x:c>
      <x:c r="P8" s="36" t="str">
        <x:f>IF(O8="","",C8-O8)</x:f>
      </x:c>
      <x:c r="Q8" s="38" t="str">
        <x:f>IF(OR(C8="",C8=0,P8=""),"",P8/C8)</x:f>
      </x:c>
      <x:c r="R8" s="34" t="str">
        <x:f>IF(A8="","",IF(OR(F8="",K8=""),"STOP: 未入力",IF(P8&lt;=0,"STOP: 利益なし","要確認")))</x:f>
      </x:c>
      <x:c r="S8" s="39"/>
      <x:c r="T8" s="33"/>
    </x:row>
    <x:row r="9">
      <x:c r="A9" s="33"/>
      <x:c r="B9" s="33"/>
      <x:c r="C9" s="35"/>
      <x:c r="D9" s="35"/>
      <x:c r="E9" s="35"/>
      <x:c r="F9" s="36" t="str">
        <x:f>IF(OR(D9="",E9=""),"",D9*E9)</x:f>
      </x:c>
      <x:c r="G9" s="35"/>
      <x:c r="H9" s="35"/>
      <x:c r="I9" s="35"/>
      <x:c r="J9" s="35"/>
      <x:c r="K9" s="37" t="str">
        <x:f>IF(OR(C9="",'設定'!$B$4=""),"",'設定'!$B$4)</x:f>
      </x:c>
      <x:c r="L9" s="36" t="str">
        <x:f>IF(OR(C9="",K9=""),"",C9*K9)</x:f>
      </x:c>
      <x:c r="M9" s="35"/>
      <x:c r="N9" s="35"/>
      <x:c r="O9" s="36" t="str">
        <x:f>IF(OR(C9="",F9="",L9=""),"",SUM(F9:J9,L9:N9))</x:f>
      </x:c>
      <x:c r="P9" s="36" t="str">
        <x:f>IF(O9="","",C9-O9)</x:f>
      </x:c>
      <x:c r="Q9" s="38" t="str">
        <x:f>IF(OR(C9="",C9=0,P9=""),"",P9/C9)</x:f>
      </x:c>
      <x:c r="R9" s="34" t="str">
        <x:f>IF(A9="","",IF(OR(F9="",K9=""),"STOP: 未入力",IF(P9&lt;=0,"STOP: 利益なし","要確認")))</x:f>
      </x:c>
      <x:c r="S9" s="39"/>
      <x:c r="T9" s="33"/>
    </x:row>
    <x:row r="10">
      <x:c r="A10" s="33"/>
      <x:c r="B10" s="33"/>
      <x:c r="C10" s="35"/>
      <x:c r="D10" s="35"/>
      <x:c r="E10" s="35"/>
      <x:c r="F10" s="36" t="str">
        <x:f>IF(OR(D10="",E10=""),"",D10*E10)</x:f>
      </x:c>
      <x:c r="G10" s="35"/>
      <x:c r="H10" s="35"/>
      <x:c r="I10" s="35"/>
      <x:c r="J10" s="35"/>
      <x:c r="K10" s="37" t="str">
        <x:f>IF(OR(C10="",'設定'!$B$4=""),"",'設定'!$B$4)</x:f>
      </x:c>
      <x:c r="L10" s="36" t="str">
        <x:f>IF(OR(C10="",K10=""),"",C10*K10)</x:f>
      </x:c>
      <x:c r="M10" s="35"/>
      <x:c r="N10" s="35"/>
      <x:c r="O10" s="36" t="str">
        <x:f>IF(OR(C10="",F10="",L10=""),"",SUM(F10:J10,L10:N10))</x:f>
      </x:c>
      <x:c r="P10" s="36" t="str">
        <x:f>IF(O10="","",C10-O10)</x:f>
      </x:c>
      <x:c r="Q10" s="38" t="str">
        <x:f>IF(OR(C10="",C10=0,P10=""),"",P10/C10)</x:f>
      </x:c>
      <x:c r="R10" s="34" t="str">
        <x:f>IF(A10="","",IF(OR(F10="",K10=""),"STOP: 未入力",IF(P10&lt;=0,"STOP: 利益なし","要確認")))</x:f>
      </x:c>
      <x:c r="S10" s="39"/>
      <x:c r="T10" s="33"/>
    </x:row>
    <x:row r="11">
      <x:c r="A11" s="33"/>
      <x:c r="B11" s="33"/>
      <x:c r="C11" s="35"/>
      <x:c r="D11" s="35"/>
      <x:c r="E11" s="35"/>
      <x:c r="F11" s="36" t="str">
        <x:f>IF(OR(D11="",E11=""),"",D11*E11)</x:f>
      </x:c>
      <x:c r="G11" s="35"/>
      <x:c r="H11" s="35"/>
      <x:c r="I11" s="35"/>
      <x:c r="J11" s="35"/>
      <x:c r="K11" s="37" t="str">
        <x:f>IF(OR(C11="",'設定'!$B$4=""),"",'設定'!$B$4)</x:f>
      </x:c>
      <x:c r="L11" s="36" t="str">
        <x:f>IF(OR(C11="",K11=""),"",C11*K11)</x:f>
      </x:c>
      <x:c r="M11" s="35"/>
      <x:c r="N11" s="35"/>
      <x:c r="O11" s="36" t="str">
        <x:f>IF(OR(C11="",F11="",L11=""),"",SUM(F11:J11,L11:N11))</x:f>
      </x:c>
      <x:c r="P11" s="36" t="str">
        <x:f>IF(O11="","",C11-O11)</x:f>
      </x:c>
      <x:c r="Q11" s="38" t="str">
        <x:f>IF(OR(C11="",C11=0,P11=""),"",P11/C11)</x:f>
      </x:c>
      <x:c r="R11" s="34" t="str">
        <x:f>IF(A11="","",IF(OR(F11="",K11=""),"STOP: 未入力",IF(P11&lt;=0,"STOP: 利益なし","要確認")))</x:f>
      </x:c>
      <x:c r="S11" s="39"/>
      <x:c r="T11" s="33"/>
    </x:row>
    <x:row r="12">
      <x:c r="A12" s="33"/>
      <x:c r="B12" s="33"/>
      <x:c r="C12" s="35"/>
      <x:c r="D12" s="35"/>
      <x:c r="E12" s="35"/>
      <x:c r="F12" s="36" t="str">
        <x:f>IF(OR(D12="",E12=""),"",D12*E12)</x:f>
      </x:c>
      <x:c r="G12" s="35"/>
      <x:c r="H12" s="35"/>
      <x:c r="I12" s="35"/>
      <x:c r="J12" s="35"/>
      <x:c r="K12" s="37" t="str">
        <x:f>IF(OR(C12="",'設定'!$B$4=""),"",'設定'!$B$4)</x:f>
      </x:c>
      <x:c r="L12" s="36" t="str">
        <x:f>IF(OR(C12="",K12=""),"",C12*K12)</x:f>
      </x:c>
      <x:c r="M12" s="35"/>
      <x:c r="N12" s="35"/>
      <x:c r="O12" s="36" t="str">
        <x:f>IF(OR(C12="",F12="",L12=""),"",SUM(F12:J12,L12:N12))</x:f>
      </x:c>
      <x:c r="P12" s="36" t="str">
        <x:f>IF(O12="","",C12-O12)</x:f>
      </x:c>
      <x:c r="Q12" s="38" t="str">
        <x:f>IF(OR(C12="",C12=0,P12=""),"",P12/C12)</x:f>
      </x:c>
      <x:c r="R12" s="34" t="str">
        <x:f>IF(A12="","",IF(OR(F12="",K12=""),"STOP: 未入力",IF(P12&lt;=0,"STOP: 利益なし","要確認")))</x:f>
      </x:c>
      <x:c r="S12" s="39"/>
      <x:c r="T12" s="33"/>
    </x:row>
    <x:row r="13">
      <x:c r="A13" s="33"/>
      <x:c r="B13" s="33"/>
      <x:c r="C13" s="35"/>
      <x:c r="D13" s="35"/>
      <x:c r="E13" s="35"/>
      <x:c r="F13" s="36" t="str">
        <x:f>IF(OR(D13="",E13=""),"",D13*E13)</x:f>
      </x:c>
      <x:c r="G13" s="35"/>
      <x:c r="H13" s="35"/>
      <x:c r="I13" s="35"/>
      <x:c r="J13" s="35"/>
      <x:c r="K13" s="37" t="str">
        <x:f>IF(OR(C13="",'設定'!$B$4=""),"",'設定'!$B$4)</x:f>
      </x:c>
      <x:c r="L13" s="36" t="str">
        <x:f>IF(OR(C13="",K13=""),"",C13*K13)</x:f>
      </x:c>
      <x:c r="M13" s="35"/>
      <x:c r="N13" s="35"/>
      <x:c r="O13" s="36" t="str">
        <x:f>IF(OR(C13="",F13="",L13=""),"",SUM(F13:J13,L13:N13))</x:f>
      </x:c>
      <x:c r="P13" s="36" t="str">
        <x:f>IF(O13="","",C13-O13)</x:f>
      </x:c>
      <x:c r="Q13" s="38" t="str">
        <x:f>IF(OR(C13="",C13=0,P13=""),"",P13/C13)</x:f>
      </x:c>
      <x:c r="R13" s="34" t="str">
        <x:f>IF(A13="","",IF(OR(F13="",K13=""),"STOP: 未入力",IF(P13&lt;=0,"STOP: 利益なし","要確認")))</x:f>
      </x:c>
      <x:c r="S13" s="39"/>
      <x:c r="T13" s="33"/>
    </x:row>
    <x:row r="14">
      <x:c r="A14" s="33"/>
      <x:c r="B14" s="33"/>
      <x:c r="C14" s="35"/>
      <x:c r="D14" s="35"/>
      <x:c r="E14" s="35"/>
      <x:c r="F14" s="36" t="str">
        <x:f>IF(OR(D14="",E14=""),"",D14*E14)</x:f>
      </x:c>
      <x:c r="G14" s="35"/>
      <x:c r="H14" s="35"/>
      <x:c r="I14" s="35"/>
      <x:c r="J14" s="35"/>
      <x:c r="K14" s="37" t="str">
        <x:f>IF(OR(C14="",'設定'!$B$4=""),"",'設定'!$B$4)</x:f>
      </x:c>
      <x:c r="L14" s="36" t="str">
        <x:f>IF(OR(C14="",K14=""),"",C14*K14)</x:f>
      </x:c>
      <x:c r="M14" s="35"/>
      <x:c r="N14" s="35"/>
      <x:c r="O14" s="36" t="str">
        <x:f>IF(OR(C14="",F14="",L14=""),"",SUM(F14:J14,L14:N14))</x:f>
      </x:c>
      <x:c r="P14" s="36" t="str">
        <x:f>IF(O14="","",C14-O14)</x:f>
      </x:c>
      <x:c r="Q14" s="38" t="str">
        <x:f>IF(OR(C14="",C14=0,P14=""),"",P14/C14)</x:f>
      </x:c>
      <x:c r="R14" s="34" t="str">
        <x:f>IF(A14="","",IF(OR(F14="",K14=""),"STOP: 未入力",IF(P14&lt;=0,"STOP: 利益なし","要確認")))</x:f>
      </x:c>
      <x:c r="S14" s="39"/>
      <x:c r="T14" s="33"/>
    </x:row>
    <x:row r="15">
      <x:c r="A15" s="33"/>
      <x:c r="B15" s="33"/>
      <x:c r="C15" s="35"/>
      <x:c r="D15" s="35"/>
      <x:c r="E15" s="35"/>
      <x:c r="F15" s="36" t="str">
        <x:f>IF(OR(D15="",E15=""),"",D15*E15)</x:f>
      </x:c>
      <x:c r="G15" s="35"/>
      <x:c r="H15" s="35"/>
      <x:c r="I15" s="35"/>
      <x:c r="J15" s="35"/>
      <x:c r="K15" s="37" t="str">
        <x:f>IF(OR(C15="",'設定'!$B$4=""),"",'設定'!$B$4)</x:f>
      </x:c>
      <x:c r="L15" s="36" t="str">
        <x:f>IF(OR(C15="",K15=""),"",C15*K15)</x:f>
      </x:c>
      <x:c r="M15" s="35"/>
      <x:c r="N15" s="35"/>
      <x:c r="O15" s="36" t="str">
        <x:f>IF(OR(C15="",F15="",L15=""),"",SUM(F15:J15,L15:N15))</x:f>
      </x:c>
      <x:c r="P15" s="36" t="str">
        <x:f>IF(O15="","",C15-O15)</x:f>
      </x:c>
      <x:c r="Q15" s="38" t="str">
        <x:f>IF(OR(C15="",C15=0,P15=""),"",P15/C15)</x:f>
      </x:c>
      <x:c r="R15" s="34" t="str">
        <x:f>IF(A15="","",IF(OR(F15="",K15=""),"STOP: 未入力",IF(P15&lt;=0,"STOP: 利益なし","要確認")))</x:f>
      </x:c>
      <x:c r="S15" s="39"/>
      <x:c r="T15" s="33"/>
    </x:row>
    <x:row r="16">
      <x:c r="A16" s="33"/>
      <x:c r="B16" s="33"/>
      <x:c r="C16" s="35"/>
      <x:c r="D16" s="35"/>
      <x:c r="E16" s="35"/>
      <x:c r="F16" s="36" t="str">
        <x:f>IF(OR(D16="",E16=""),"",D16*E16)</x:f>
      </x:c>
      <x:c r="G16" s="35"/>
      <x:c r="H16" s="35"/>
      <x:c r="I16" s="35"/>
      <x:c r="J16" s="35"/>
      <x:c r="K16" s="37" t="str">
        <x:f>IF(OR(C16="",'設定'!$B$4=""),"",'設定'!$B$4)</x:f>
      </x:c>
      <x:c r="L16" s="36" t="str">
        <x:f>IF(OR(C16="",K16=""),"",C16*K16)</x:f>
      </x:c>
      <x:c r="M16" s="35"/>
      <x:c r="N16" s="35"/>
      <x:c r="O16" s="36" t="str">
        <x:f>IF(OR(C16="",F16="",L16=""),"",SUM(F16:J16,L16:N16))</x:f>
      </x:c>
      <x:c r="P16" s="36" t="str">
        <x:f>IF(O16="","",C16-O16)</x:f>
      </x:c>
      <x:c r="Q16" s="38" t="str">
        <x:f>IF(OR(C16="",C16=0,P16=""),"",P16/C16)</x:f>
      </x:c>
      <x:c r="R16" s="34" t="str">
        <x:f>IF(A16="","",IF(OR(F16="",K16=""),"STOP: 未入力",IF(P16&lt;=0,"STOP: 利益なし","要確認")))</x:f>
      </x:c>
      <x:c r="S16" s="39"/>
      <x:c r="T16" s="33"/>
    </x:row>
    <x:row r="17">
      <x:c r="A17" s="33"/>
      <x:c r="B17" s="33"/>
      <x:c r="C17" s="35"/>
      <x:c r="D17" s="35"/>
      <x:c r="E17" s="35"/>
      <x:c r="F17" s="36" t="str">
        <x:f>IF(OR(D17="",E17=""),"",D17*E17)</x:f>
      </x:c>
      <x:c r="G17" s="35"/>
      <x:c r="H17" s="35"/>
      <x:c r="I17" s="35"/>
      <x:c r="J17" s="35"/>
      <x:c r="K17" s="37" t="str">
        <x:f>IF(OR(C17="",'設定'!$B$4=""),"",'設定'!$B$4)</x:f>
      </x:c>
      <x:c r="L17" s="36" t="str">
        <x:f>IF(OR(C17="",K17=""),"",C17*K17)</x:f>
      </x:c>
      <x:c r="M17" s="35"/>
      <x:c r="N17" s="35"/>
      <x:c r="O17" s="36" t="str">
        <x:f>IF(OR(C17="",F17="",L17=""),"",SUM(F17:J17,L17:N17))</x:f>
      </x:c>
      <x:c r="P17" s="36" t="str">
        <x:f>IF(O17="","",C17-O17)</x:f>
      </x:c>
      <x:c r="Q17" s="38" t="str">
        <x:f>IF(OR(C17="",C17=0,P17=""),"",P17/C17)</x:f>
      </x:c>
      <x:c r="R17" s="34" t="str">
        <x:f>IF(A17="","",IF(OR(F17="",K17=""),"STOP: 未入力",IF(P17&lt;=0,"STOP: 利益なし","要確認")))</x:f>
      </x:c>
      <x:c r="S17" s="39"/>
      <x:c r="T17" s="33"/>
    </x:row>
    <x:row r="18">
      <x:c r="A18" s="33"/>
      <x:c r="B18" s="33"/>
      <x:c r="C18" s="35"/>
      <x:c r="D18" s="35"/>
      <x:c r="E18" s="35"/>
      <x:c r="F18" s="36" t="str">
        <x:f>IF(OR(D18="",E18=""),"",D18*E18)</x:f>
      </x:c>
      <x:c r="G18" s="35"/>
      <x:c r="H18" s="35"/>
      <x:c r="I18" s="35"/>
      <x:c r="J18" s="35"/>
      <x:c r="K18" s="37" t="str">
        <x:f>IF(OR(C18="",'設定'!$B$4=""),"",'設定'!$B$4)</x:f>
      </x:c>
      <x:c r="L18" s="36" t="str">
        <x:f>IF(OR(C18="",K18=""),"",C18*K18)</x:f>
      </x:c>
      <x:c r="M18" s="35"/>
      <x:c r="N18" s="35"/>
      <x:c r="O18" s="36" t="str">
        <x:f>IF(OR(C18="",F18="",L18=""),"",SUM(F18:J18,L18:N18))</x:f>
      </x:c>
      <x:c r="P18" s="36" t="str">
        <x:f>IF(O18="","",C18-O18)</x:f>
      </x:c>
      <x:c r="Q18" s="38" t="str">
        <x:f>IF(OR(C18="",C18=0,P18=""),"",P18/C18)</x:f>
      </x:c>
      <x:c r="R18" s="34" t="str">
        <x:f>IF(A18="","",IF(OR(F18="",K18=""),"STOP: 未入力",IF(P18&lt;=0,"STOP: 利益なし","要確認")))</x:f>
      </x:c>
      <x:c r="S18" s="39"/>
      <x:c r="T18" s="33"/>
    </x:row>
    <x:row r="19">
      <x:c r="A19" s="33"/>
      <x:c r="B19" s="33"/>
      <x:c r="C19" s="35"/>
      <x:c r="D19" s="35"/>
      <x:c r="E19" s="35"/>
      <x:c r="F19" s="36" t="str">
        <x:f>IF(OR(D19="",E19=""),"",D19*E19)</x:f>
      </x:c>
      <x:c r="G19" s="35"/>
      <x:c r="H19" s="35"/>
      <x:c r="I19" s="35"/>
      <x:c r="J19" s="35"/>
      <x:c r="K19" s="37" t="str">
        <x:f>IF(OR(C19="",'設定'!$B$4=""),"",'設定'!$B$4)</x:f>
      </x:c>
      <x:c r="L19" s="36" t="str">
        <x:f>IF(OR(C19="",K19=""),"",C19*K19)</x:f>
      </x:c>
      <x:c r="M19" s="35"/>
      <x:c r="N19" s="35"/>
      <x:c r="O19" s="36" t="str">
        <x:f>IF(OR(C19="",F19="",L19=""),"",SUM(F19:J19,L19:N19))</x:f>
      </x:c>
      <x:c r="P19" s="36" t="str">
        <x:f>IF(O19="","",C19-O19)</x:f>
      </x:c>
      <x:c r="Q19" s="38" t="str">
        <x:f>IF(OR(C19="",C19=0,P19=""),"",P19/C19)</x:f>
      </x:c>
      <x:c r="R19" s="34" t="str">
        <x:f>IF(A19="","",IF(OR(F19="",K19=""),"STOP: 未入力",IF(P19&lt;=0,"STOP: 利益なし","要確認")))</x:f>
      </x:c>
      <x:c r="S19" s="39"/>
      <x:c r="T19" s="33"/>
    </x:row>
    <x:row r="20">
      <x:c r="A20" s="33"/>
      <x:c r="B20" s="33"/>
      <x:c r="C20" s="35"/>
      <x:c r="D20" s="35"/>
      <x:c r="E20" s="35"/>
      <x:c r="F20" s="36" t="str">
        <x:f>IF(OR(D20="",E20=""),"",D20*E20)</x:f>
      </x:c>
      <x:c r="G20" s="35"/>
      <x:c r="H20" s="35"/>
      <x:c r="I20" s="35"/>
      <x:c r="J20" s="35"/>
      <x:c r="K20" s="37" t="str">
        <x:f>IF(OR(C20="",'設定'!$B$4=""),"",'設定'!$B$4)</x:f>
      </x:c>
      <x:c r="L20" s="36" t="str">
        <x:f>IF(OR(C20="",K20=""),"",C20*K20)</x:f>
      </x:c>
      <x:c r="M20" s="35"/>
      <x:c r="N20" s="35"/>
      <x:c r="O20" s="36" t="str">
        <x:f>IF(OR(C20="",F20="",L20=""),"",SUM(F20:J20,L20:N20))</x:f>
      </x:c>
      <x:c r="P20" s="36" t="str">
        <x:f>IF(O20="","",C20-O20)</x:f>
      </x:c>
      <x:c r="Q20" s="38" t="str">
        <x:f>IF(OR(C20="",C20=0,P20=""),"",P20/C20)</x:f>
      </x:c>
      <x:c r="R20" s="34" t="str">
        <x:f>IF(A20="","",IF(OR(F20="",K20=""),"STOP: 未入力",IF(P20&lt;=0,"STOP: 利益なし","要確認")))</x:f>
      </x:c>
      <x:c r="S20" s="39"/>
      <x:c r="T20" s="33"/>
    </x:row>
    <x:row r="21">
      <x:c r="A21" s="33"/>
      <x:c r="B21" s="33"/>
      <x:c r="C21" s="35"/>
      <x:c r="D21" s="35"/>
      <x:c r="E21" s="35"/>
      <x:c r="F21" s="36" t="str">
        <x:f>IF(OR(D21="",E21=""),"",D21*E21)</x:f>
      </x:c>
      <x:c r="G21" s="35"/>
      <x:c r="H21" s="35"/>
      <x:c r="I21" s="35"/>
      <x:c r="J21" s="35"/>
      <x:c r="K21" s="37" t="str">
        <x:f>IF(OR(C21="",'設定'!$B$4=""),"",'設定'!$B$4)</x:f>
      </x:c>
      <x:c r="L21" s="36" t="str">
        <x:f>IF(OR(C21="",K21=""),"",C21*K21)</x:f>
      </x:c>
      <x:c r="M21" s="35"/>
      <x:c r="N21" s="35"/>
      <x:c r="O21" s="36" t="str">
        <x:f>IF(OR(C21="",F21="",L21=""),"",SUM(F21:J21,L21:N21))</x:f>
      </x:c>
      <x:c r="P21" s="36" t="str">
        <x:f>IF(O21="","",C21-O21)</x:f>
      </x:c>
      <x:c r="Q21" s="38" t="str">
        <x:f>IF(OR(C21="",C21=0,P21=""),"",P21/C21)</x:f>
      </x:c>
      <x:c r="R21" s="34" t="str">
        <x:f>IF(A21="","",IF(OR(F21="",K21=""),"STOP: 未入力",IF(P21&lt;=0,"STOP: 利益なし","要確認")))</x:f>
      </x:c>
      <x:c r="S21" s="39"/>
      <x:c r="T21" s="33"/>
    </x:row>
    <x:row r="22">
      <x:c r="A22" s="33"/>
      <x:c r="B22" s="33"/>
      <x:c r="C22" s="35"/>
      <x:c r="D22" s="35"/>
      <x:c r="E22" s="35"/>
      <x:c r="F22" s="36" t="str">
        <x:f>IF(OR(D22="",E22=""),"",D22*E22)</x:f>
      </x:c>
      <x:c r="G22" s="35"/>
      <x:c r="H22" s="35"/>
      <x:c r="I22" s="35"/>
      <x:c r="J22" s="35"/>
      <x:c r="K22" s="37" t="str">
        <x:f>IF(OR(C22="",'設定'!$B$4=""),"",'設定'!$B$4)</x:f>
      </x:c>
      <x:c r="L22" s="36" t="str">
        <x:f>IF(OR(C22="",K22=""),"",C22*K22)</x:f>
      </x:c>
      <x:c r="M22" s="35"/>
      <x:c r="N22" s="35"/>
      <x:c r="O22" s="36" t="str">
        <x:f>IF(OR(C22="",F22="",L22=""),"",SUM(F22:J22,L22:N22))</x:f>
      </x:c>
      <x:c r="P22" s="36" t="str">
        <x:f>IF(O22="","",C22-O22)</x:f>
      </x:c>
      <x:c r="Q22" s="38" t="str">
        <x:f>IF(OR(C22="",C22=0,P22=""),"",P22/C22)</x:f>
      </x:c>
      <x:c r="R22" s="34" t="str">
        <x:f>IF(A22="","",IF(OR(F22="",K22=""),"STOP: 未入力",IF(P22&lt;=0,"STOP: 利益なし","要確認")))</x:f>
      </x:c>
      <x:c r="S22" s="39"/>
      <x:c r="T22" s="33"/>
    </x:row>
    <x:row r="23">
      <x:c r="A23" s="33"/>
      <x:c r="B23" s="33"/>
      <x:c r="C23" s="35"/>
      <x:c r="D23" s="35"/>
      <x:c r="E23" s="35"/>
      <x:c r="F23" s="36" t="str">
        <x:f>IF(OR(D23="",E23=""),"",D23*E23)</x:f>
      </x:c>
      <x:c r="G23" s="35"/>
      <x:c r="H23" s="35"/>
      <x:c r="I23" s="35"/>
      <x:c r="J23" s="35"/>
      <x:c r="K23" s="37" t="str">
        <x:f>IF(OR(C23="",'設定'!$B$4=""),"",'設定'!$B$4)</x:f>
      </x:c>
      <x:c r="L23" s="36" t="str">
        <x:f>IF(OR(C23="",K23=""),"",C23*K23)</x:f>
      </x:c>
      <x:c r="M23" s="35"/>
      <x:c r="N23" s="35"/>
      <x:c r="O23" s="36" t="str">
        <x:f>IF(OR(C23="",F23="",L23=""),"",SUM(F23:J23,L23:N23))</x:f>
      </x:c>
      <x:c r="P23" s="36" t="str">
        <x:f>IF(O23="","",C23-O23)</x:f>
      </x:c>
      <x:c r="Q23" s="38" t="str">
        <x:f>IF(OR(C23="",C23=0,P23=""),"",P23/C23)</x:f>
      </x:c>
      <x:c r="R23" s="34" t="str">
        <x:f>IF(A23="","",IF(OR(F23="",K23=""),"STOP: 未入力",IF(P23&lt;=0,"STOP: 利益なし","要確認")))</x:f>
      </x:c>
      <x:c r="S23" s="39"/>
      <x:c r="T23" s="33"/>
    </x:row>
    <x:row r="24">
      <x:c r="A24" s="33"/>
      <x:c r="B24" s="33"/>
      <x:c r="C24" s="35"/>
      <x:c r="D24" s="35"/>
      <x:c r="E24" s="35"/>
      <x:c r="F24" s="36" t="str">
        <x:f>IF(OR(D24="",E24=""),"",D24*E24)</x:f>
      </x:c>
      <x:c r="G24" s="35"/>
      <x:c r="H24" s="35"/>
      <x:c r="I24" s="35"/>
      <x:c r="J24" s="35"/>
      <x:c r="K24" s="37" t="str">
        <x:f>IF(OR(C24="",'設定'!$B$4=""),"",'設定'!$B$4)</x:f>
      </x:c>
      <x:c r="L24" s="36" t="str">
        <x:f>IF(OR(C24="",K24=""),"",C24*K24)</x:f>
      </x:c>
      <x:c r="M24" s="35"/>
      <x:c r="N24" s="35"/>
      <x:c r="O24" s="36" t="str">
        <x:f>IF(OR(C24="",F24="",L24=""),"",SUM(F24:J24,L24:N24))</x:f>
      </x:c>
      <x:c r="P24" s="36" t="str">
        <x:f>IF(O24="","",C24-O24)</x:f>
      </x:c>
      <x:c r="Q24" s="38" t="str">
        <x:f>IF(OR(C24="",C24=0,P24=""),"",P24/C24)</x:f>
      </x:c>
      <x:c r="R24" s="34" t="str">
        <x:f>IF(A24="","",IF(OR(F24="",K24=""),"STOP: 未入力",IF(P24&lt;=0,"STOP: 利益なし","要確認")))</x:f>
      </x:c>
      <x:c r="S24" s="39"/>
      <x:c r="T24" s="33"/>
    </x:row>
    <x:row r="25">
      <x:c r="A25" s="33"/>
      <x:c r="B25" s="33"/>
      <x:c r="C25" s="35"/>
      <x:c r="D25" s="35"/>
      <x:c r="E25" s="35"/>
      <x:c r="F25" s="36" t="str">
        <x:f>IF(OR(D25="",E25=""),"",D25*E25)</x:f>
      </x:c>
      <x:c r="G25" s="35"/>
      <x:c r="H25" s="35"/>
      <x:c r="I25" s="35"/>
      <x:c r="J25" s="35"/>
      <x:c r="K25" s="37" t="str">
        <x:f>IF(OR(C25="",'設定'!$B$4=""),"",'設定'!$B$4)</x:f>
      </x:c>
      <x:c r="L25" s="36" t="str">
        <x:f>IF(OR(C25="",K25=""),"",C25*K25)</x:f>
      </x:c>
      <x:c r="M25" s="35"/>
      <x:c r="N25" s="35"/>
      <x:c r="O25" s="36" t="str">
        <x:f>IF(OR(C25="",F25="",L25=""),"",SUM(F25:J25,L25:N25))</x:f>
      </x:c>
      <x:c r="P25" s="36" t="str">
        <x:f>IF(O25="","",C25-O25)</x:f>
      </x:c>
      <x:c r="Q25" s="38" t="str">
        <x:f>IF(OR(C25="",C25=0,P25=""),"",P25/C25)</x:f>
      </x:c>
      <x:c r="R25" s="34" t="str">
        <x:f>IF(A25="","",IF(OR(F25="",K25=""),"STOP: 未入力",IF(P25&lt;=0,"STOP: 利益なし","要確認")))</x:f>
      </x:c>
      <x:c r="S25" s="39"/>
      <x:c r="T25" s="33"/>
    </x:row>
    <x:row r="26">
      <x:c r="A26" s="33"/>
      <x:c r="B26" s="33"/>
      <x:c r="C26" s="35"/>
      <x:c r="D26" s="35"/>
      <x:c r="E26" s="35"/>
      <x:c r="F26" s="36" t="str">
        <x:f>IF(OR(D26="",E26=""),"",D26*E26)</x:f>
      </x:c>
      <x:c r="G26" s="35"/>
      <x:c r="H26" s="35"/>
      <x:c r="I26" s="35"/>
      <x:c r="J26" s="35"/>
      <x:c r="K26" s="37" t="str">
        <x:f>IF(OR(C26="",'設定'!$B$4=""),"",'設定'!$B$4)</x:f>
      </x:c>
      <x:c r="L26" s="36" t="str">
        <x:f>IF(OR(C26="",K26=""),"",C26*K26)</x:f>
      </x:c>
      <x:c r="M26" s="35"/>
      <x:c r="N26" s="35"/>
      <x:c r="O26" s="36" t="str">
        <x:f>IF(OR(C26="",F26="",L26=""),"",SUM(F26:J26,L26:N26))</x:f>
      </x:c>
      <x:c r="P26" s="36" t="str">
        <x:f>IF(O26="","",C26-O26)</x:f>
      </x:c>
      <x:c r="Q26" s="38" t="str">
        <x:f>IF(OR(C26="",C26=0,P26=""),"",P26/C26)</x:f>
      </x:c>
      <x:c r="R26" s="34" t="str">
        <x:f>IF(A26="","",IF(OR(F26="",K26=""),"STOP: 未入力",IF(P26&lt;=0,"STOP: 利益なし","要確認")))</x:f>
      </x:c>
      <x:c r="S26" s="39"/>
      <x:c r="T26" s="33"/>
    </x:row>
    <x:row r="27">
      <x:c r="A27" s="33"/>
      <x:c r="B27" s="33"/>
      <x:c r="C27" s="35"/>
      <x:c r="D27" s="35"/>
      <x:c r="E27" s="35"/>
      <x:c r="F27" s="36" t="str">
        <x:f>IF(OR(D27="",E27=""),"",D27*E27)</x:f>
      </x:c>
      <x:c r="G27" s="35"/>
      <x:c r="H27" s="35"/>
      <x:c r="I27" s="35"/>
      <x:c r="J27" s="35"/>
      <x:c r="K27" s="37" t="str">
        <x:f>IF(OR(C27="",'設定'!$B$4=""),"",'設定'!$B$4)</x:f>
      </x:c>
      <x:c r="L27" s="36" t="str">
        <x:f>IF(OR(C27="",K27=""),"",C27*K27)</x:f>
      </x:c>
      <x:c r="M27" s="35"/>
      <x:c r="N27" s="35"/>
      <x:c r="O27" s="36" t="str">
        <x:f>IF(OR(C27="",F27="",L27=""),"",SUM(F27:J27,L27:N27))</x:f>
      </x:c>
      <x:c r="P27" s="36" t="str">
        <x:f>IF(O27="","",C27-O27)</x:f>
      </x:c>
      <x:c r="Q27" s="38" t="str">
        <x:f>IF(OR(C27="",C27=0,P27=""),"",P27/C27)</x:f>
      </x:c>
      <x:c r="R27" s="34" t="str">
        <x:f>IF(A27="","",IF(OR(F27="",K27=""),"STOP: 未入力",IF(P27&lt;=0,"STOP: 利益なし","要確認")))</x:f>
      </x:c>
      <x:c r="S27" s="39"/>
      <x:c r="T27" s="33"/>
    </x:row>
    <x:row r="28">
      <x:c r="A28" s="33"/>
      <x:c r="B28" s="33"/>
      <x:c r="C28" s="35"/>
      <x:c r="D28" s="35"/>
      <x:c r="E28" s="35"/>
      <x:c r="F28" s="36" t="str">
        <x:f>IF(OR(D28="",E28=""),"",D28*E28)</x:f>
      </x:c>
      <x:c r="G28" s="35"/>
      <x:c r="H28" s="35"/>
      <x:c r="I28" s="35"/>
      <x:c r="J28" s="35"/>
      <x:c r="K28" s="37" t="str">
        <x:f>IF(OR(C28="",'設定'!$B$4=""),"",'設定'!$B$4)</x:f>
      </x:c>
      <x:c r="L28" s="36" t="str">
        <x:f>IF(OR(C28="",K28=""),"",C28*K28)</x:f>
      </x:c>
      <x:c r="M28" s="35"/>
      <x:c r="N28" s="35"/>
      <x:c r="O28" s="36" t="str">
        <x:f>IF(OR(C28="",F28="",L28=""),"",SUM(F28:J28,L28:N28))</x:f>
      </x:c>
      <x:c r="P28" s="36" t="str">
        <x:f>IF(O28="","",C28-O28)</x:f>
      </x:c>
      <x:c r="Q28" s="38" t="str">
        <x:f>IF(OR(C28="",C28=0,P28=""),"",P28/C28)</x:f>
      </x:c>
      <x:c r="R28" s="34" t="str">
        <x:f>IF(A28="","",IF(OR(F28="",K28=""),"STOP: 未入力",IF(P28&lt;=0,"STOP: 利益なし","要確認")))</x:f>
      </x:c>
      <x:c r="S28" s="39"/>
      <x:c r="T28" s="33"/>
    </x:row>
    <x:row r="29">
      <x:c r="A29" s="33"/>
      <x:c r="B29" s="33"/>
      <x:c r="C29" s="35"/>
      <x:c r="D29" s="35"/>
      <x:c r="E29" s="35"/>
      <x:c r="F29" s="36" t="str">
        <x:f>IF(OR(D29="",E29=""),"",D29*E29)</x:f>
      </x:c>
      <x:c r="G29" s="35"/>
      <x:c r="H29" s="35"/>
      <x:c r="I29" s="35"/>
      <x:c r="J29" s="35"/>
      <x:c r="K29" s="37" t="str">
        <x:f>IF(OR(C29="",'設定'!$B$4=""),"",'設定'!$B$4)</x:f>
      </x:c>
      <x:c r="L29" s="36" t="str">
        <x:f>IF(OR(C29="",K29=""),"",C29*K29)</x:f>
      </x:c>
      <x:c r="M29" s="35"/>
      <x:c r="N29" s="35"/>
      <x:c r="O29" s="36" t="str">
        <x:f>IF(OR(C29="",F29="",L29=""),"",SUM(F29:J29,L29:N29))</x:f>
      </x:c>
      <x:c r="P29" s="36" t="str">
        <x:f>IF(O29="","",C29-O29)</x:f>
      </x:c>
      <x:c r="Q29" s="38" t="str">
        <x:f>IF(OR(C29="",C29=0,P29=""),"",P29/C29)</x:f>
      </x:c>
      <x:c r="R29" s="34" t="str">
        <x:f>IF(A29="","",IF(OR(F29="",K29=""),"STOP: 未入力",IF(P29&lt;=0,"STOP: 利益なし","要確認")))</x:f>
      </x:c>
      <x:c r="S29" s="39"/>
      <x:c r="T29" s="33"/>
    </x:row>
    <x:row r="30">
      <x:c r="A30" s="33"/>
      <x:c r="B30" s="33"/>
      <x:c r="C30" s="35"/>
      <x:c r="D30" s="35"/>
      <x:c r="E30" s="35"/>
      <x:c r="F30" s="36" t="str">
        <x:f>IF(OR(D30="",E30=""),"",D30*E30)</x:f>
      </x:c>
      <x:c r="G30" s="35"/>
      <x:c r="H30" s="35"/>
      <x:c r="I30" s="35"/>
      <x:c r="J30" s="35"/>
      <x:c r="K30" s="37" t="str">
        <x:f>IF(OR(C30="",'設定'!$B$4=""),"",'設定'!$B$4)</x:f>
      </x:c>
      <x:c r="L30" s="36" t="str">
        <x:f>IF(OR(C30="",K30=""),"",C30*K30)</x:f>
      </x:c>
      <x:c r="M30" s="35"/>
      <x:c r="N30" s="35"/>
      <x:c r="O30" s="36" t="str">
        <x:f>IF(OR(C30="",F30="",L30=""),"",SUM(F30:J30,L30:N30))</x:f>
      </x:c>
      <x:c r="P30" s="36" t="str">
        <x:f>IF(O30="","",C30-O30)</x:f>
      </x:c>
      <x:c r="Q30" s="38" t="str">
        <x:f>IF(OR(C30="",C30=0,P30=""),"",P30/C30)</x:f>
      </x:c>
      <x:c r="R30" s="34" t="str">
        <x:f>IF(A30="","",IF(OR(F30="",K30=""),"STOP: 未入力",IF(P30&lt;=0,"STOP: 利益なし","要確認")))</x:f>
      </x:c>
      <x:c r="S30" s="39"/>
      <x:c r="T30" s="33"/>
    </x:row>
    <x:row r="31">
      <x:c r="A31" s="33"/>
      <x:c r="B31" s="33"/>
      <x:c r="C31" s="35"/>
      <x:c r="D31" s="35"/>
      <x:c r="E31" s="35"/>
      <x:c r="F31" s="36" t="str">
        <x:f>IF(OR(D31="",E31=""),"",D31*E31)</x:f>
      </x:c>
      <x:c r="G31" s="35"/>
      <x:c r="H31" s="35"/>
      <x:c r="I31" s="35"/>
      <x:c r="J31" s="35"/>
      <x:c r="K31" s="37" t="str">
        <x:f>IF(OR(C31="",'設定'!$B$4=""),"",'設定'!$B$4)</x:f>
      </x:c>
      <x:c r="L31" s="36" t="str">
        <x:f>IF(OR(C31="",K31=""),"",C31*K31)</x:f>
      </x:c>
      <x:c r="M31" s="35"/>
      <x:c r="N31" s="35"/>
      <x:c r="O31" s="36" t="str">
        <x:f>IF(OR(C31="",F31="",L31=""),"",SUM(F31:J31,L31:N31))</x:f>
      </x:c>
      <x:c r="P31" s="36" t="str">
        <x:f>IF(O31="","",C31-O31)</x:f>
      </x:c>
      <x:c r="Q31" s="38" t="str">
        <x:f>IF(OR(C31="",C31=0,P31=""),"",P31/C31)</x:f>
      </x:c>
      <x:c r="R31" s="34" t="str">
        <x:f>IF(A31="","",IF(OR(F31="",K31=""),"STOP: 未入力",IF(P31&lt;=0,"STOP: 利益なし","要確認")))</x:f>
      </x:c>
      <x:c r="S31" s="39"/>
      <x:c r="T31" s="33"/>
    </x:row>
    <x:row r="32">
      <x:c r="A32" s="33"/>
      <x:c r="B32" s="33"/>
      <x:c r="C32" s="35"/>
      <x:c r="D32" s="35"/>
      <x:c r="E32" s="35"/>
      <x:c r="F32" s="36" t="str">
        <x:f>IF(OR(D32="",E32=""),"",D32*E32)</x:f>
      </x:c>
      <x:c r="G32" s="35"/>
      <x:c r="H32" s="35"/>
      <x:c r="I32" s="35"/>
      <x:c r="J32" s="35"/>
      <x:c r="K32" s="37" t="str">
        <x:f>IF(OR(C32="",'設定'!$B$4=""),"",'設定'!$B$4)</x:f>
      </x:c>
      <x:c r="L32" s="36" t="str">
        <x:f>IF(OR(C32="",K32=""),"",C32*K32)</x:f>
      </x:c>
      <x:c r="M32" s="35"/>
      <x:c r="N32" s="35"/>
      <x:c r="O32" s="36" t="str">
        <x:f>IF(OR(C32="",F32="",L32=""),"",SUM(F32:J32,L32:N32))</x:f>
      </x:c>
      <x:c r="P32" s="36" t="str">
        <x:f>IF(O32="","",C32-O32)</x:f>
      </x:c>
      <x:c r="Q32" s="38" t="str">
        <x:f>IF(OR(C32="",C32=0,P32=""),"",P32/C32)</x:f>
      </x:c>
      <x:c r="R32" s="34" t="str">
        <x:f>IF(A32="","",IF(OR(F32="",K32=""),"STOP: 未入力",IF(P32&lt;=0,"STOP: 利益なし","要確認")))</x:f>
      </x:c>
      <x:c r="S32" s="39"/>
      <x:c r="T32" s="33"/>
    </x:row>
    <x:row r="33">
      <x:c r="A33" s="33"/>
      <x:c r="B33" s="33"/>
      <x:c r="C33" s="35"/>
      <x:c r="D33" s="35"/>
      <x:c r="E33" s="35"/>
      <x:c r="F33" s="36" t="str">
        <x:f>IF(OR(D33="",E33=""),"",D33*E33)</x:f>
      </x:c>
      <x:c r="G33" s="35"/>
      <x:c r="H33" s="35"/>
      <x:c r="I33" s="35"/>
      <x:c r="J33" s="35"/>
      <x:c r="K33" s="37" t="str">
        <x:f>IF(OR(C33="",'設定'!$B$4=""),"",'設定'!$B$4)</x:f>
      </x:c>
      <x:c r="L33" s="36" t="str">
        <x:f>IF(OR(C33="",K33=""),"",C33*K33)</x:f>
      </x:c>
      <x:c r="M33" s="35"/>
      <x:c r="N33" s="35"/>
      <x:c r="O33" s="36" t="str">
        <x:f>IF(OR(C33="",F33="",L33=""),"",SUM(F33:J33,L33:N33))</x:f>
      </x:c>
      <x:c r="P33" s="36" t="str">
        <x:f>IF(O33="","",C33-O33)</x:f>
      </x:c>
      <x:c r="Q33" s="38" t="str">
        <x:f>IF(OR(C33="",C33=0,P33=""),"",P33/C33)</x:f>
      </x:c>
      <x:c r="R33" s="34" t="str">
        <x:f>IF(A33="","",IF(OR(F33="",K33=""),"STOP: 未入力",IF(P33&lt;=0,"STOP: 利益なし","要確認")))</x:f>
      </x:c>
      <x:c r="S33" s="39"/>
      <x:c r="T33" s="33"/>
    </x:row>
    <x:row r="34">
      <x:c r="A34" s="33"/>
      <x:c r="B34" s="33"/>
      <x:c r="C34" s="35"/>
      <x:c r="D34" s="35"/>
      <x:c r="E34" s="35"/>
      <x:c r="F34" s="36" t="str">
        <x:f>IF(OR(D34="",E34=""),"",D34*E34)</x:f>
      </x:c>
      <x:c r="G34" s="35"/>
      <x:c r="H34" s="35"/>
      <x:c r="I34" s="35"/>
      <x:c r="J34" s="35"/>
      <x:c r="K34" s="37" t="str">
        <x:f>IF(OR(C34="",'設定'!$B$4=""),"",'設定'!$B$4)</x:f>
      </x:c>
      <x:c r="L34" s="36" t="str">
        <x:f>IF(OR(C34="",K34=""),"",C34*K34)</x:f>
      </x:c>
      <x:c r="M34" s="35"/>
      <x:c r="N34" s="35"/>
      <x:c r="O34" s="36" t="str">
        <x:f>IF(OR(C34="",F34="",L34=""),"",SUM(F34:J34,L34:N34))</x:f>
      </x:c>
      <x:c r="P34" s="36" t="str">
        <x:f>IF(O34="","",C34-O34)</x:f>
      </x:c>
      <x:c r="Q34" s="38" t="str">
        <x:f>IF(OR(C34="",C34=0,P34=""),"",P34/C34)</x:f>
      </x:c>
      <x:c r="R34" s="34" t="str">
        <x:f>IF(A34="","",IF(OR(F34="",K34=""),"STOP: 未入力",IF(P34&lt;=0,"STOP: 利益なし","要確認")))</x:f>
      </x:c>
      <x:c r="S34" s="39"/>
      <x:c r="T34" s="33"/>
    </x:row>
    <x:row r="35">
      <x:c r="A35" s="33"/>
      <x:c r="B35" s="33"/>
      <x:c r="C35" s="35"/>
      <x:c r="D35" s="35"/>
      <x:c r="E35" s="35"/>
      <x:c r="F35" s="36" t="str">
        <x:f>IF(OR(D35="",E35=""),"",D35*E35)</x:f>
      </x:c>
      <x:c r="G35" s="35"/>
      <x:c r="H35" s="35"/>
      <x:c r="I35" s="35"/>
      <x:c r="J35" s="35"/>
      <x:c r="K35" s="37" t="str">
        <x:f>IF(OR(C35="",'設定'!$B$4=""),"",'設定'!$B$4)</x:f>
      </x:c>
      <x:c r="L35" s="36" t="str">
        <x:f>IF(OR(C35="",K35=""),"",C35*K35)</x:f>
      </x:c>
      <x:c r="M35" s="35"/>
      <x:c r="N35" s="35"/>
      <x:c r="O35" s="36" t="str">
        <x:f>IF(OR(C35="",F35="",L35=""),"",SUM(F35:J35,L35:N35))</x:f>
      </x:c>
      <x:c r="P35" s="36" t="str">
        <x:f>IF(O35="","",C35-O35)</x:f>
      </x:c>
      <x:c r="Q35" s="38" t="str">
        <x:f>IF(OR(C35="",C35=0,P35=""),"",P35/C35)</x:f>
      </x:c>
      <x:c r="R35" s="34" t="str">
        <x:f>IF(A35="","",IF(OR(F35="",K35=""),"STOP: 未入力",IF(P35&lt;=0,"STOP: 利益なし","要確認")))</x:f>
      </x:c>
      <x:c r="S35" s="39"/>
      <x:c r="T35" s="33"/>
    </x:row>
    <x:row r="36">
      <x:c r="A36" s="33"/>
      <x:c r="B36" s="33"/>
      <x:c r="C36" s="35"/>
      <x:c r="D36" s="35"/>
      <x:c r="E36" s="35"/>
      <x:c r="F36" s="36" t="str">
        <x:f>IF(OR(D36="",E36=""),"",D36*E36)</x:f>
      </x:c>
      <x:c r="G36" s="35"/>
      <x:c r="H36" s="35"/>
      <x:c r="I36" s="35"/>
      <x:c r="J36" s="35"/>
      <x:c r="K36" s="37" t="str">
        <x:f>IF(OR(C36="",'設定'!$B$4=""),"",'設定'!$B$4)</x:f>
      </x:c>
      <x:c r="L36" s="36" t="str">
        <x:f>IF(OR(C36="",K36=""),"",C36*K36)</x:f>
      </x:c>
      <x:c r="M36" s="35"/>
      <x:c r="N36" s="35"/>
      <x:c r="O36" s="36" t="str">
        <x:f>IF(OR(C36="",F36="",L36=""),"",SUM(F36:J36,L36:N36))</x:f>
      </x:c>
      <x:c r="P36" s="36" t="str">
        <x:f>IF(O36="","",C36-O36)</x:f>
      </x:c>
      <x:c r="Q36" s="38" t="str">
        <x:f>IF(OR(C36="",C36=0,P36=""),"",P36/C36)</x:f>
      </x:c>
      <x:c r="R36" s="34" t="str">
        <x:f>IF(A36="","",IF(OR(F36="",K36=""),"STOP: 未入力",IF(P36&lt;=0,"STOP: 利益なし","要確認")))</x:f>
      </x:c>
      <x:c r="S36" s="39"/>
      <x:c r="T36" s="33"/>
    </x:row>
    <x:row r="37">
      <x:c r="A37" s="33"/>
      <x:c r="B37" s="33"/>
      <x:c r="C37" s="35"/>
      <x:c r="D37" s="35"/>
      <x:c r="E37" s="35"/>
      <x:c r="F37" s="36" t="str">
        <x:f>IF(OR(D37="",E37=""),"",D37*E37)</x:f>
      </x:c>
      <x:c r="G37" s="35"/>
      <x:c r="H37" s="35"/>
      <x:c r="I37" s="35"/>
      <x:c r="J37" s="35"/>
      <x:c r="K37" s="37" t="str">
        <x:f>IF(OR(C37="",'設定'!$B$4=""),"",'設定'!$B$4)</x:f>
      </x:c>
      <x:c r="L37" s="36" t="str">
        <x:f>IF(OR(C37="",K37=""),"",C37*K37)</x:f>
      </x:c>
      <x:c r="M37" s="35"/>
      <x:c r="N37" s="35"/>
      <x:c r="O37" s="36" t="str">
        <x:f>IF(OR(C37="",F37="",L37=""),"",SUM(F37:J37,L37:N37))</x:f>
      </x:c>
      <x:c r="P37" s="36" t="str">
        <x:f>IF(O37="","",C37-O37)</x:f>
      </x:c>
      <x:c r="Q37" s="38" t="str">
        <x:f>IF(OR(C37="",C37=0,P37=""),"",P37/C37)</x:f>
      </x:c>
      <x:c r="R37" s="34" t="str">
        <x:f>IF(A37="","",IF(OR(F37="",K37=""),"STOP: 未入力",IF(P37&lt;=0,"STOP: 利益なし","要確認")))</x:f>
      </x:c>
      <x:c r="S37" s="39"/>
      <x:c r="T37" s="33"/>
    </x:row>
    <x:row r="38">
      <x:c r="A38" s="33"/>
      <x:c r="B38" s="33"/>
      <x:c r="C38" s="35"/>
      <x:c r="D38" s="35"/>
      <x:c r="E38" s="35"/>
      <x:c r="F38" s="36" t="str">
        <x:f>IF(OR(D38="",E38=""),"",D38*E38)</x:f>
      </x:c>
      <x:c r="G38" s="35"/>
      <x:c r="H38" s="35"/>
      <x:c r="I38" s="35"/>
      <x:c r="J38" s="35"/>
      <x:c r="K38" s="37" t="str">
        <x:f>IF(OR(C38="",'設定'!$B$4=""),"",'設定'!$B$4)</x:f>
      </x:c>
      <x:c r="L38" s="36" t="str">
        <x:f>IF(OR(C38="",K38=""),"",C38*K38)</x:f>
      </x:c>
      <x:c r="M38" s="35"/>
      <x:c r="N38" s="35"/>
      <x:c r="O38" s="36" t="str">
        <x:f>IF(OR(C38="",F38="",L38=""),"",SUM(F38:J38,L38:N38))</x:f>
      </x:c>
      <x:c r="P38" s="36" t="str">
        <x:f>IF(O38="","",C38-O38)</x:f>
      </x:c>
      <x:c r="Q38" s="38" t="str">
        <x:f>IF(OR(C38="",C38=0,P38=""),"",P38/C38)</x:f>
      </x:c>
      <x:c r="R38" s="34" t="str">
        <x:f>IF(A38="","",IF(OR(F38="",K38=""),"STOP: 未入力",IF(P38&lt;=0,"STOP: 利益なし","要確認")))</x:f>
      </x:c>
      <x:c r="S38" s="39"/>
      <x:c r="T38" s="33"/>
    </x:row>
    <x:row r="39">
      <x:c r="A39" s="33"/>
      <x:c r="B39" s="33"/>
      <x:c r="C39" s="35"/>
      <x:c r="D39" s="35"/>
      <x:c r="E39" s="35"/>
      <x:c r="F39" s="36" t="str">
        <x:f>IF(OR(D39="",E39=""),"",D39*E39)</x:f>
      </x:c>
      <x:c r="G39" s="35"/>
      <x:c r="H39" s="35"/>
      <x:c r="I39" s="35"/>
      <x:c r="J39" s="35"/>
      <x:c r="K39" s="37" t="str">
        <x:f>IF(OR(C39="",'設定'!$B$4=""),"",'設定'!$B$4)</x:f>
      </x:c>
      <x:c r="L39" s="36" t="str">
        <x:f>IF(OR(C39="",K39=""),"",C39*K39)</x:f>
      </x:c>
      <x:c r="M39" s="35"/>
      <x:c r="N39" s="35"/>
      <x:c r="O39" s="36" t="str">
        <x:f>IF(OR(C39="",F39="",L39=""),"",SUM(F39:J39,L39:N39))</x:f>
      </x:c>
      <x:c r="P39" s="36" t="str">
        <x:f>IF(O39="","",C39-O39)</x:f>
      </x:c>
      <x:c r="Q39" s="38" t="str">
        <x:f>IF(OR(C39="",C39=0,P39=""),"",P39/C39)</x:f>
      </x:c>
      <x:c r="R39" s="34" t="str">
        <x:f>IF(A39="","",IF(OR(F39="",K39=""),"STOP: 未入力",IF(P39&lt;=0,"STOP: 利益なし","要確認")))</x:f>
      </x:c>
      <x:c r="S39" s="39"/>
      <x:c r="T39" s="33"/>
    </x:row>
    <x:row r="40">
      <x:c r="A40" s="33"/>
      <x:c r="B40" s="33"/>
      <x:c r="C40" s="35"/>
      <x:c r="D40" s="35"/>
      <x:c r="E40" s="35"/>
      <x:c r="F40" s="36" t="str">
        <x:f>IF(OR(D40="",E40=""),"",D40*E40)</x:f>
      </x:c>
      <x:c r="G40" s="35"/>
      <x:c r="H40" s="35"/>
      <x:c r="I40" s="35"/>
      <x:c r="J40" s="35"/>
      <x:c r="K40" s="37" t="str">
        <x:f>IF(OR(C40="",'設定'!$B$4=""),"",'設定'!$B$4)</x:f>
      </x:c>
      <x:c r="L40" s="36" t="str">
        <x:f>IF(OR(C40="",K40=""),"",C40*K40)</x:f>
      </x:c>
      <x:c r="M40" s="35"/>
      <x:c r="N40" s="35"/>
      <x:c r="O40" s="36" t="str">
        <x:f>IF(OR(C40="",F40="",L40=""),"",SUM(F40:J40,L40:N40))</x:f>
      </x:c>
      <x:c r="P40" s="36" t="str">
        <x:f>IF(O40="","",C40-O40)</x:f>
      </x:c>
      <x:c r="Q40" s="38" t="str">
        <x:f>IF(OR(C40="",C40=0,P40=""),"",P40/C40)</x:f>
      </x:c>
      <x:c r="R40" s="34" t="str">
        <x:f>IF(A40="","",IF(OR(F40="",K40=""),"STOP: 未入力",IF(P40&lt;=0,"STOP: 利益なし","要確認")))</x:f>
      </x:c>
      <x:c r="S40" s="39"/>
      <x:c r="T40" s="33"/>
    </x:row>
    <x:row r="41">
      <x:c r="A41" s="33"/>
      <x:c r="B41" s="33"/>
      <x:c r="C41" s="35"/>
      <x:c r="D41" s="35"/>
      <x:c r="E41" s="35"/>
      <x:c r="F41" s="36" t="str">
        <x:f>IF(OR(D41="",E41=""),"",D41*E41)</x:f>
      </x:c>
      <x:c r="G41" s="35"/>
      <x:c r="H41" s="35"/>
      <x:c r="I41" s="35"/>
      <x:c r="J41" s="35"/>
      <x:c r="K41" s="37" t="str">
        <x:f>IF(OR(C41="",'設定'!$B$4=""),"",'設定'!$B$4)</x:f>
      </x:c>
      <x:c r="L41" s="36" t="str">
        <x:f>IF(OR(C41="",K41=""),"",C41*K41)</x:f>
      </x:c>
      <x:c r="M41" s="35"/>
      <x:c r="N41" s="35"/>
      <x:c r="O41" s="36" t="str">
        <x:f>IF(OR(C41="",F41="",L41=""),"",SUM(F41:J41,L41:N41))</x:f>
      </x:c>
      <x:c r="P41" s="36" t="str">
        <x:f>IF(O41="","",C41-O41)</x:f>
      </x:c>
      <x:c r="Q41" s="38" t="str">
        <x:f>IF(OR(C41="",C41=0,P41=""),"",P41/C41)</x:f>
      </x:c>
      <x:c r="R41" s="34" t="str">
        <x:f>IF(A41="","",IF(OR(F41="",K41=""),"STOP: 未入力",IF(P41&lt;=0,"STOP: 利益なし","要確認")))</x:f>
      </x:c>
      <x:c r="S41" s="39"/>
      <x:c r="T41" s="33"/>
    </x:row>
    <x:row r="42">
      <x:c r="A42" s="33"/>
      <x:c r="B42" s="33"/>
      <x:c r="C42" s="35"/>
      <x:c r="D42" s="35"/>
      <x:c r="E42" s="35"/>
      <x:c r="F42" s="36" t="str">
        <x:f>IF(OR(D42="",E42=""),"",D42*E42)</x:f>
      </x:c>
      <x:c r="G42" s="35"/>
      <x:c r="H42" s="35"/>
      <x:c r="I42" s="35"/>
      <x:c r="J42" s="35"/>
      <x:c r="K42" s="37" t="str">
        <x:f>IF(OR(C42="",'設定'!$B$4=""),"",'設定'!$B$4)</x:f>
      </x:c>
      <x:c r="L42" s="36" t="str">
        <x:f>IF(OR(C42="",K42=""),"",C42*K42)</x:f>
      </x:c>
      <x:c r="M42" s="35"/>
      <x:c r="N42" s="35"/>
      <x:c r="O42" s="36" t="str">
        <x:f>IF(OR(C42="",F42="",L42=""),"",SUM(F42:J42,L42:N42))</x:f>
      </x:c>
      <x:c r="P42" s="36" t="str">
        <x:f>IF(O42="","",C42-O42)</x:f>
      </x:c>
      <x:c r="Q42" s="38" t="str">
        <x:f>IF(OR(C42="",C42=0,P42=""),"",P42/C42)</x:f>
      </x:c>
      <x:c r="R42" s="34" t="str">
        <x:f>IF(A42="","",IF(OR(F42="",K42=""),"STOP: 未入力",IF(P42&lt;=0,"STOP: 利益なし","要確認")))</x:f>
      </x:c>
      <x:c r="S42" s="39"/>
      <x:c r="T42" s="33"/>
    </x:row>
    <x:row r="43">
      <x:c r="A43" s="33"/>
      <x:c r="B43" s="33"/>
      <x:c r="C43" s="35"/>
      <x:c r="D43" s="35"/>
      <x:c r="E43" s="35"/>
      <x:c r="F43" s="36" t="str">
        <x:f>IF(OR(D43="",E43=""),"",D43*E43)</x:f>
      </x:c>
      <x:c r="G43" s="35"/>
      <x:c r="H43" s="35"/>
      <x:c r="I43" s="35"/>
      <x:c r="J43" s="35"/>
      <x:c r="K43" s="37" t="str">
        <x:f>IF(OR(C43="",'設定'!$B$4=""),"",'設定'!$B$4)</x:f>
      </x:c>
      <x:c r="L43" s="36" t="str">
        <x:f>IF(OR(C43="",K43=""),"",C43*K43)</x:f>
      </x:c>
      <x:c r="M43" s="35"/>
      <x:c r="N43" s="35"/>
      <x:c r="O43" s="36" t="str">
        <x:f>IF(OR(C43="",F43="",L43=""),"",SUM(F43:J43,L43:N43))</x:f>
      </x:c>
      <x:c r="P43" s="36" t="str">
        <x:f>IF(O43="","",C43-O43)</x:f>
      </x:c>
      <x:c r="Q43" s="38" t="str">
        <x:f>IF(OR(C43="",C43=0,P43=""),"",P43/C43)</x:f>
      </x:c>
      <x:c r="R43" s="34" t="str">
        <x:f>IF(A43="","",IF(OR(F43="",K43=""),"STOP: 未入力",IF(P43&lt;=0,"STOP: 利益なし","要確認")))</x:f>
      </x:c>
      <x:c r="S43" s="39"/>
      <x:c r="T43" s="33"/>
    </x:row>
    <x:row r="44">
      <x:c r="A44" s="33"/>
      <x:c r="B44" s="33"/>
      <x:c r="C44" s="35"/>
      <x:c r="D44" s="35"/>
      <x:c r="E44" s="35"/>
      <x:c r="F44" s="36" t="str">
        <x:f>IF(OR(D44="",E44=""),"",D44*E44)</x:f>
      </x:c>
      <x:c r="G44" s="35"/>
      <x:c r="H44" s="35"/>
      <x:c r="I44" s="35"/>
      <x:c r="J44" s="35"/>
      <x:c r="K44" s="37" t="str">
        <x:f>IF(OR(C44="",'設定'!$B$4=""),"",'設定'!$B$4)</x:f>
      </x:c>
      <x:c r="L44" s="36" t="str">
        <x:f>IF(OR(C44="",K44=""),"",C44*K44)</x:f>
      </x:c>
      <x:c r="M44" s="35"/>
      <x:c r="N44" s="35"/>
      <x:c r="O44" s="36" t="str">
        <x:f>IF(OR(C44="",F44="",L44=""),"",SUM(F44:J44,L44:N44))</x:f>
      </x:c>
      <x:c r="P44" s="36" t="str">
        <x:f>IF(O44="","",C44-O44)</x:f>
      </x:c>
      <x:c r="Q44" s="38" t="str">
        <x:f>IF(OR(C44="",C44=0,P44=""),"",P44/C44)</x:f>
      </x:c>
      <x:c r="R44" s="34" t="str">
        <x:f>IF(A44="","",IF(OR(F44="",K44=""),"STOP: 未入力",IF(P44&lt;=0,"STOP: 利益なし","要確認")))</x:f>
      </x:c>
      <x:c r="S44" s="39"/>
      <x:c r="T44" s="33"/>
    </x:row>
    <x:row r="45">
      <x:c r="A45" s="33"/>
      <x:c r="B45" s="33"/>
      <x:c r="C45" s="35"/>
      <x:c r="D45" s="35"/>
      <x:c r="E45" s="35"/>
      <x:c r="F45" s="36" t="str">
        <x:f>IF(OR(D45="",E45=""),"",D45*E45)</x:f>
      </x:c>
      <x:c r="G45" s="35"/>
      <x:c r="H45" s="35"/>
      <x:c r="I45" s="35"/>
      <x:c r="J45" s="35"/>
      <x:c r="K45" s="37" t="str">
        <x:f>IF(OR(C45="",'設定'!$B$4=""),"",'設定'!$B$4)</x:f>
      </x:c>
      <x:c r="L45" s="36" t="str">
        <x:f>IF(OR(C45="",K45=""),"",C45*K45)</x:f>
      </x:c>
      <x:c r="M45" s="35"/>
      <x:c r="N45" s="35"/>
      <x:c r="O45" s="36" t="str">
        <x:f>IF(OR(C45="",F45="",L45=""),"",SUM(F45:J45,L45:N45))</x:f>
      </x:c>
      <x:c r="P45" s="36" t="str">
        <x:f>IF(O45="","",C45-O45)</x:f>
      </x:c>
      <x:c r="Q45" s="38" t="str">
        <x:f>IF(OR(C45="",C45=0,P45=""),"",P45/C45)</x:f>
      </x:c>
      <x:c r="R45" s="34" t="str">
        <x:f>IF(A45="","",IF(OR(F45="",K45=""),"STOP: 未入力",IF(P45&lt;=0,"STOP: 利益なし","要確認")))</x:f>
      </x:c>
      <x:c r="S45" s="39"/>
      <x:c r="T45" s="33"/>
    </x:row>
    <x:row r="46">
      <x:c r="A46" s="33"/>
      <x:c r="B46" s="33"/>
      <x:c r="C46" s="35"/>
      <x:c r="D46" s="35"/>
      <x:c r="E46" s="35"/>
      <x:c r="F46" s="36" t="str">
        <x:f>IF(OR(D46="",E46=""),"",D46*E46)</x:f>
      </x:c>
      <x:c r="G46" s="35"/>
      <x:c r="H46" s="35"/>
      <x:c r="I46" s="35"/>
      <x:c r="J46" s="35"/>
      <x:c r="K46" s="37" t="str">
        <x:f>IF(OR(C46="",'設定'!$B$4=""),"",'設定'!$B$4)</x:f>
      </x:c>
      <x:c r="L46" s="36" t="str">
        <x:f>IF(OR(C46="",K46=""),"",C46*K46)</x:f>
      </x:c>
      <x:c r="M46" s="35"/>
      <x:c r="N46" s="35"/>
      <x:c r="O46" s="36" t="str">
        <x:f>IF(OR(C46="",F46="",L46=""),"",SUM(F46:J46,L46:N46))</x:f>
      </x:c>
      <x:c r="P46" s="36" t="str">
        <x:f>IF(O46="","",C46-O46)</x:f>
      </x:c>
      <x:c r="Q46" s="38" t="str">
        <x:f>IF(OR(C46="",C46=0,P46=""),"",P46/C46)</x:f>
      </x:c>
      <x:c r="R46" s="34" t="str">
        <x:f>IF(A46="","",IF(OR(F46="",K46=""),"STOP: 未入力",IF(P46&lt;=0,"STOP: 利益なし","要確認")))</x:f>
      </x:c>
      <x:c r="S46" s="39"/>
      <x:c r="T46" s="33"/>
    </x:row>
    <x:row r="47">
      <x:c r="A47" s="33"/>
      <x:c r="B47" s="33"/>
      <x:c r="C47" s="35"/>
      <x:c r="D47" s="35"/>
      <x:c r="E47" s="35"/>
      <x:c r="F47" s="36" t="str">
        <x:f>IF(OR(D47="",E47=""),"",D47*E47)</x:f>
      </x:c>
      <x:c r="G47" s="35"/>
      <x:c r="H47" s="35"/>
      <x:c r="I47" s="35"/>
      <x:c r="J47" s="35"/>
      <x:c r="K47" s="37" t="str">
        <x:f>IF(OR(C47="",'設定'!$B$4=""),"",'設定'!$B$4)</x:f>
      </x:c>
      <x:c r="L47" s="36" t="str">
        <x:f>IF(OR(C47="",K47=""),"",C47*K47)</x:f>
      </x:c>
      <x:c r="M47" s="35"/>
      <x:c r="N47" s="35"/>
      <x:c r="O47" s="36" t="str">
        <x:f>IF(OR(C47="",F47="",L47=""),"",SUM(F47:J47,L47:N47))</x:f>
      </x:c>
      <x:c r="P47" s="36" t="str">
        <x:f>IF(O47="","",C47-O47)</x:f>
      </x:c>
      <x:c r="Q47" s="38" t="str">
        <x:f>IF(OR(C47="",C47=0,P47=""),"",P47/C47)</x:f>
      </x:c>
      <x:c r="R47" s="34" t="str">
        <x:f>IF(A47="","",IF(OR(F47="",K47=""),"STOP: 未入力",IF(P47&lt;=0,"STOP: 利益なし","要確認")))</x:f>
      </x:c>
      <x:c r="S47" s="39"/>
      <x:c r="T47" s="33"/>
    </x:row>
    <x:row r="48">
      <x:c r="A48" s="33"/>
      <x:c r="B48" s="33"/>
      <x:c r="C48" s="35"/>
      <x:c r="D48" s="35"/>
      <x:c r="E48" s="35"/>
      <x:c r="F48" s="36" t="str">
        <x:f>IF(OR(D48="",E48=""),"",D48*E48)</x:f>
      </x:c>
      <x:c r="G48" s="35"/>
      <x:c r="H48" s="35"/>
      <x:c r="I48" s="35"/>
      <x:c r="J48" s="35"/>
      <x:c r="K48" s="37" t="str">
        <x:f>IF(OR(C48="",'設定'!$B$4=""),"",'設定'!$B$4)</x:f>
      </x:c>
      <x:c r="L48" s="36" t="str">
        <x:f>IF(OR(C48="",K48=""),"",C48*K48)</x:f>
      </x:c>
      <x:c r="M48" s="35"/>
      <x:c r="N48" s="35"/>
      <x:c r="O48" s="36" t="str">
        <x:f>IF(OR(C48="",F48="",L48=""),"",SUM(F48:J48,L48:N48))</x:f>
      </x:c>
      <x:c r="P48" s="36" t="str">
        <x:f>IF(O48="","",C48-O48)</x:f>
      </x:c>
      <x:c r="Q48" s="38" t="str">
        <x:f>IF(OR(C48="",C48=0,P48=""),"",P48/C48)</x:f>
      </x:c>
      <x:c r="R48" s="34" t="str">
        <x:f>IF(A48="","",IF(OR(F48="",K48=""),"STOP: 未入力",IF(P48&lt;=0,"STOP: 利益なし","要確認")))</x:f>
      </x:c>
      <x:c r="S48" s="39"/>
      <x:c r="T48" s="33"/>
    </x:row>
    <x:row r="49">
      <x:c r="A49" s="33"/>
      <x:c r="B49" s="33"/>
      <x:c r="C49" s="35"/>
      <x:c r="D49" s="35"/>
      <x:c r="E49" s="35"/>
      <x:c r="F49" s="36" t="str">
        <x:f>IF(OR(D49="",E49=""),"",D49*E49)</x:f>
      </x:c>
      <x:c r="G49" s="35"/>
      <x:c r="H49" s="35"/>
      <x:c r="I49" s="35"/>
      <x:c r="J49" s="35"/>
      <x:c r="K49" s="37" t="str">
        <x:f>IF(OR(C49="",'設定'!$B$4=""),"",'設定'!$B$4)</x:f>
      </x:c>
      <x:c r="L49" s="36" t="str">
        <x:f>IF(OR(C49="",K49=""),"",C49*K49)</x:f>
      </x:c>
      <x:c r="M49" s="35"/>
      <x:c r="N49" s="35"/>
      <x:c r="O49" s="36" t="str">
        <x:f>IF(OR(C49="",F49="",L49=""),"",SUM(F49:J49,L49:N49))</x:f>
      </x:c>
      <x:c r="P49" s="36" t="str">
        <x:f>IF(O49="","",C49-O49)</x:f>
      </x:c>
      <x:c r="Q49" s="38" t="str">
        <x:f>IF(OR(C49="",C49=0,P49=""),"",P49/C49)</x:f>
      </x:c>
      <x:c r="R49" s="34" t="str">
        <x:f>IF(A49="","",IF(OR(F49="",K49=""),"STOP: 未入力",IF(P49&lt;=0,"STOP: 利益なし","要確認")))</x:f>
      </x:c>
      <x:c r="S49" s="39"/>
      <x:c r="T49" s="33"/>
    </x:row>
    <x:row r="50">
      <x:c r="A50" s="33"/>
      <x:c r="B50" s="33"/>
      <x:c r="C50" s="35"/>
      <x:c r="D50" s="35"/>
      <x:c r="E50" s="35"/>
      <x:c r="F50" s="36" t="str">
        <x:f>IF(OR(D50="",E50=""),"",D50*E50)</x:f>
      </x:c>
      <x:c r="G50" s="35"/>
      <x:c r="H50" s="35"/>
      <x:c r="I50" s="35"/>
      <x:c r="J50" s="35"/>
      <x:c r="K50" s="37" t="str">
        <x:f>IF(OR(C50="",'設定'!$B$4=""),"",'設定'!$B$4)</x:f>
      </x:c>
      <x:c r="L50" s="36" t="str">
        <x:f>IF(OR(C50="",K50=""),"",C50*K50)</x:f>
      </x:c>
      <x:c r="M50" s="35"/>
      <x:c r="N50" s="35"/>
      <x:c r="O50" s="36" t="str">
        <x:f>IF(OR(C50="",F50="",L50=""),"",SUM(F50:J50,L50:N50))</x:f>
      </x:c>
      <x:c r="P50" s="36" t="str">
        <x:f>IF(O50="","",C50-O50)</x:f>
      </x:c>
      <x:c r="Q50" s="38" t="str">
        <x:f>IF(OR(C50="",C50=0,P50=""),"",P50/C50)</x:f>
      </x:c>
      <x:c r="R50" s="34" t="str">
        <x:f>IF(A50="","",IF(OR(F50="",K50=""),"STOP: 未入力",IF(P50&lt;=0,"STOP: 利益なし","要確認")))</x:f>
      </x:c>
      <x:c r="S50" s="39"/>
      <x:c r="T50" s="33"/>
    </x:row>
    <x:row r="51">
      <x:c r="A51" s="33"/>
      <x:c r="B51" s="33"/>
      <x:c r="C51" s="35"/>
      <x:c r="D51" s="35"/>
      <x:c r="E51" s="35"/>
      <x:c r="F51" s="36" t="str">
        <x:f>IF(OR(D51="",E51=""),"",D51*E51)</x:f>
      </x:c>
      <x:c r="G51" s="35"/>
      <x:c r="H51" s="35"/>
      <x:c r="I51" s="35"/>
      <x:c r="J51" s="35"/>
      <x:c r="K51" s="37" t="str">
        <x:f>IF(OR(C51="",'設定'!$B$4=""),"",'設定'!$B$4)</x:f>
      </x:c>
      <x:c r="L51" s="36" t="str">
        <x:f>IF(OR(C51="",K51=""),"",C51*K51)</x:f>
      </x:c>
      <x:c r="M51" s="35"/>
      <x:c r="N51" s="35"/>
      <x:c r="O51" s="36" t="str">
        <x:f>IF(OR(C51="",F51="",L51=""),"",SUM(F51:J51,L51:N51))</x:f>
      </x:c>
      <x:c r="P51" s="36" t="str">
        <x:f>IF(O51="","",C51-O51)</x:f>
      </x:c>
      <x:c r="Q51" s="38" t="str">
        <x:f>IF(OR(C51="",C51=0,P51=""),"",P51/C51)</x:f>
      </x:c>
      <x:c r="R51" s="34" t="str">
        <x:f>IF(A51="","",IF(OR(F51="",K51=""),"STOP: 未入力",IF(P51&lt;=0,"STOP: 利益なし","要確認")))</x:f>
      </x:c>
      <x:c r="S51" s="39"/>
      <x:c r="T51" s="33"/>
    </x:row>
    <x:row r="52">
      <x:c r="A52" s="33"/>
      <x:c r="B52" s="33"/>
      <x:c r="C52" s="35"/>
      <x:c r="D52" s="35"/>
      <x:c r="E52" s="35"/>
      <x:c r="F52" s="36" t="str">
        <x:f>IF(OR(D52="",E52=""),"",D52*E52)</x:f>
      </x:c>
      <x:c r="G52" s="35"/>
      <x:c r="H52" s="35"/>
      <x:c r="I52" s="35"/>
      <x:c r="J52" s="35"/>
      <x:c r="K52" s="37" t="str">
        <x:f>IF(OR(C52="",'設定'!$B$4=""),"",'設定'!$B$4)</x:f>
      </x:c>
      <x:c r="L52" s="36" t="str">
        <x:f>IF(OR(C52="",K52=""),"",C52*K52)</x:f>
      </x:c>
      <x:c r="M52" s="35"/>
      <x:c r="N52" s="35"/>
      <x:c r="O52" s="36" t="str">
        <x:f>IF(OR(C52="",F52="",L52=""),"",SUM(F52:J52,L52:N52))</x:f>
      </x:c>
      <x:c r="P52" s="36" t="str">
        <x:f>IF(O52="","",C52-O52)</x:f>
      </x:c>
      <x:c r="Q52" s="38" t="str">
        <x:f>IF(OR(C52="",C52=0,P52=""),"",P52/C52)</x:f>
      </x:c>
      <x:c r="R52" s="34" t="str">
        <x:f>IF(A52="","",IF(OR(F52="",K52=""),"STOP: 未入力",IF(P52&lt;=0,"STOP: 利益なし","要確認")))</x:f>
      </x:c>
      <x:c r="S52" s="39"/>
      <x:c r="T52" s="33"/>
    </x:row>
    <x:row r="53">
      <x:c r="A53" s="33"/>
      <x:c r="B53" s="33"/>
      <x:c r="C53" s="35"/>
      <x:c r="D53" s="35"/>
      <x:c r="E53" s="35"/>
      <x:c r="F53" s="36" t="str">
        <x:f>IF(OR(D53="",E53=""),"",D53*E53)</x:f>
      </x:c>
      <x:c r="G53" s="35"/>
      <x:c r="H53" s="35"/>
      <x:c r="I53" s="35"/>
      <x:c r="J53" s="35"/>
      <x:c r="K53" s="37" t="str">
        <x:f>IF(OR(C53="",'設定'!$B$4=""),"",'設定'!$B$4)</x:f>
      </x:c>
      <x:c r="L53" s="36" t="str">
        <x:f>IF(OR(C53="",K53=""),"",C53*K53)</x:f>
      </x:c>
      <x:c r="M53" s="35"/>
      <x:c r="N53" s="35"/>
      <x:c r="O53" s="36" t="str">
        <x:f>IF(OR(C53="",F53="",L53=""),"",SUM(F53:J53,L53:N53))</x:f>
      </x:c>
      <x:c r="P53" s="36" t="str">
        <x:f>IF(O53="","",C53-O53)</x:f>
      </x:c>
      <x:c r="Q53" s="38" t="str">
        <x:f>IF(OR(C53="",C53=0,P53=""),"",P53/C53)</x:f>
      </x:c>
      <x:c r="R53" s="34" t="str">
        <x:f>IF(A53="","",IF(OR(F53="",K53=""),"STOP: 未入力",IF(P53&lt;=0,"STOP: 利益なし","要確認")))</x:f>
      </x:c>
      <x:c r="S53" s="39"/>
      <x:c r="T53" s="33"/>
    </x:row>
    <x:row r="54">
      <x:c r="A54" s="33"/>
      <x:c r="B54" s="33"/>
      <x:c r="C54" s="35"/>
      <x:c r="D54" s="35"/>
      <x:c r="E54" s="35"/>
      <x:c r="F54" s="36" t="str">
        <x:f>IF(OR(D54="",E54=""),"",D54*E54)</x:f>
      </x:c>
      <x:c r="G54" s="35"/>
      <x:c r="H54" s="35"/>
      <x:c r="I54" s="35"/>
      <x:c r="J54" s="35"/>
      <x:c r="K54" s="37" t="str">
        <x:f>IF(OR(C54="",'設定'!$B$4=""),"",'設定'!$B$4)</x:f>
      </x:c>
      <x:c r="L54" s="36" t="str">
        <x:f>IF(OR(C54="",K54=""),"",C54*K54)</x:f>
      </x:c>
      <x:c r="M54" s="35"/>
      <x:c r="N54" s="35"/>
      <x:c r="O54" s="36" t="str">
        <x:f>IF(OR(C54="",F54="",L54=""),"",SUM(F54:J54,L54:N54))</x:f>
      </x:c>
      <x:c r="P54" s="36" t="str">
        <x:f>IF(O54="","",C54-O54)</x:f>
      </x:c>
      <x:c r="Q54" s="38" t="str">
        <x:f>IF(OR(C54="",C54=0,P54=""),"",P54/C54)</x:f>
      </x:c>
      <x:c r="R54" s="34" t="str">
        <x:f>IF(A54="","",IF(OR(F54="",K54=""),"STOP: 未入力",IF(P54&lt;=0,"STOP: 利益なし","要確認")))</x:f>
      </x:c>
      <x:c r="S54" s="39"/>
      <x:c r="T54" s="33"/>
    </x:row>
    <x:row r="55">
      <x:c r="A55" s="33"/>
      <x:c r="B55" s="33"/>
      <x:c r="C55" s="35"/>
      <x:c r="D55" s="35"/>
      <x:c r="E55" s="35"/>
      <x:c r="F55" s="36" t="str">
        <x:f>IF(OR(D55="",E55=""),"",D55*E55)</x:f>
      </x:c>
      <x:c r="G55" s="35"/>
      <x:c r="H55" s="35"/>
      <x:c r="I55" s="35"/>
      <x:c r="J55" s="35"/>
      <x:c r="K55" s="37" t="str">
        <x:f>IF(OR(C55="",'設定'!$B$4=""),"",'設定'!$B$4)</x:f>
      </x:c>
      <x:c r="L55" s="36" t="str">
        <x:f>IF(OR(C55="",K55=""),"",C55*K55)</x:f>
      </x:c>
      <x:c r="M55" s="35"/>
      <x:c r="N55" s="35"/>
      <x:c r="O55" s="36" t="str">
        <x:f>IF(OR(C55="",F55="",L55=""),"",SUM(F55:J55,L55:N55))</x:f>
      </x:c>
      <x:c r="P55" s="36" t="str">
        <x:f>IF(O55="","",C55-O55)</x:f>
      </x:c>
      <x:c r="Q55" s="38" t="str">
        <x:f>IF(OR(C55="",C55=0,P55=""),"",P55/C55)</x:f>
      </x:c>
      <x:c r="R55" s="34" t="str">
        <x:f>IF(A55="","",IF(OR(F55="",K55=""),"STOP: 未入力",IF(P55&lt;=0,"STOP: 利益なし","要確認")))</x:f>
      </x:c>
      <x:c r="S55" s="39"/>
      <x:c r="T55" s="33"/>
    </x:row>
    <x:row r="56">
      <x:c r="A56" s="33"/>
      <x:c r="B56" s="33"/>
      <x:c r="C56" s="35"/>
      <x:c r="D56" s="35"/>
      <x:c r="E56" s="35"/>
      <x:c r="F56" s="36" t="str">
        <x:f>IF(OR(D56="",E56=""),"",D56*E56)</x:f>
      </x:c>
      <x:c r="G56" s="35"/>
      <x:c r="H56" s="35"/>
      <x:c r="I56" s="35"/>
      <x:c r="J56" s="35"/>
      <x:c r="K56" s="37" t="str">
        <x:f>IF(OR(C56="",'設定'!$B$4=""),"",'設定'!$B$4)</x:f>
      </x:c>
      <x:c r="L56" s="36" t="str">
        <x:f>IF(OR(C56="",K56=""),"",C56*K56)</x:f>
      </x:c>
      <x:c r="M56" s="35"/>
      <x:c r="N56" s="35"/>
      <x:c r="O56" s="36" t="str">
        <x:f>IF(OR(C56="",F56="",L56=""),"",SUM(F56:J56,L56:N56))</x:f>
      </x:c>
      <x:c r="P56" s="36" t="str">
        <x:f>IF(O56="","",C56-O56)</x:f>
      </x:c>
      <x:c r="Q56" s="38" t="str">
        <x:f>IF(OR(C56="",C56=0,P56=""),"",P56/C56)</x:f>
      </x:c>
      <x:c r="R56" s="34" t="str">
        <x:f>IF(A56="","",IF(OR(F56="",K56=""),"STOP: 未入力",IF(P56&lt;=0,"STOP: 利益なし","要確認")))</x:f>
      </x:c>
      <x:c r="S56" s="39"/>
      <x:c r="T56" s="33"/>
    </x:row>
    <x:row r="57">
      <x:c r="A57" s="33"/>
      <x:c r="B57" s="33"/>
      <x:c r="C57" s="35"/>
      <x:c r="D57" s="35"/>
      <x:c r="E57" s="35"/>
      <x:c r="F57" s="36" t="str">
        <x:f>IF(OR(D57="",E57=""),"",D57*E57)</x:f>
      </x:c>
      <x:c r="G57" s="35"/>
      <x:c r="H57" s="35"/>
      <x:c r="I57" s="35"/>
      <x:c r="J57" s="35"/>
      <x:c r="K57" s="37" t="str">
        <x:f>IF(OR(C57="",'設定'!$B$4=""),"",'設定'!$B$4)</x:f>
      </x:c>
      <x:c r="L57" s="36" t="str">
        <x:f>IF(OR(C57="",K57=""),"",C57*K57)</x:f>
      </x:c>
      <x:c r="M57" s="35"/>
      <x:c r="N57" s="35"/>
      <x:c r="O57" s="36" t="str">
        <x:f>IF(OR(C57="",F57="",L57=""),"",SUM(F57:J57,L57:N57))</x:f>
      </x:c>
      <x:c r="P57" s="36" t="str">
        <x:f>IF(O57="","",C57-O57)</x:f>
      </x:c>
      <x:c r="Q57" s="38" t="str">
        <x:f>IF(OR(C57="",C57=0,P57=""),"",P57/C57)</x:f>
      </x:c>
      <x:c r="R57" s="34" t="str">
        <x:f>IF(A57="","",IF(OR(F57="",K57=""),"STOP: 未入力",IF(P57&lt;=0,"STOP: 利益なし","要確認")))</x:f>
      </x:c>
      <x:c r="S57" s="39"/>
      <x:c r="T57" s="33"/>
    </x:row>
    <x:row r="58">
      <x:c r="A58" s="33"/>
      <x:c r="B58" s="33"/>
      <x:c r="C58" s="35"/>
      <x:c r="D58" s="35"/>
      <x:c r="E58" s="35"/>
      <x:c r="F58" s="36" t="str">
        <x:f>IF(OR(D58="",E58=""),"",D58*E58)</x:f>
      </x:c>
      <x:c r="G58" s="35"/>
      <x:c r="H58" s="35"/>
      <x:c r="I58" s="35"/>
      <x:c r="J58" s="35"/>
      <x:c r="K58" s="37" t="str">
        <x:f>IF(OR(C58="",'設定'!$B$4=""),"",'設定'!$B$4)</x:f>
      </x:c>
      <x:c r="L58" s="36" t="str">
        <x:f>IF(OR(C58="",K58=""),"",C58*K58)</x:f>
      </x:c>
      <x:c r="M58" s="35"/>
      <x:c r="N58" s="35"/>
      <x:c r="O58" s="36" t="str">
        <x:f>IF(OR(C58="",F58="",L58=""),"",SUM(F58:J58,L58:N58))</x:f>
      </x:c>
      <x:c r="P58" s="36" t="str">
        <x:f>IF(O58="","",C58-O58)</x:f>
      </x:c>
      <x:c r="Q58" s="38" t="str">
        <x:f>IF(OR(C58="",C58=0,P58=""),"",P58/C58)</x:f>
      </x:c>
      <x:c r="R58" s="34" t="str">
        <x:f>IF(A58="","",IF(OR(F58="",K58=""),"STOP: 未入力",IF(P58&lt;=0,"STOP: 利益なし","要確認")))</x:f>
      </x:c>
      <x:c r="S58" s="39"/>
      <x:c r="T58" s="33"/>
    </x:row>
    <x:row r="59">
      <x:c r="A59" s="33"/>
      <x:c r="B59" s="33"/>
      <x:c r="C59" s="35"/>
      <x:c r="D59" s="35"/>
      <x:c r="E59" s="35"/>
      <x:c r="F59" s="36" t="str">
        <x:f>IF(OR(D59="",E59=""),"",D59*E59)</x:f>
      </x:c>
      <x:c r="G59" s="35"/>
      <x:c r="H59" s="35"/>
      <x:c r="I59" s="35"/>
      <x:c r="J59" s="35"/>
      <x:c r="K59" s="37" t="str">
        <x:f>IF(OR(C59="",'設定'!$B$4=""),"",'設定'!$B$4)</x:f>
      </x:c>
      <x:c r="L59" s="36" t="str">
        <x:f>IF(OR(C59="",K59=""),"",C59*K59)</x:f>
      </x:c>
      <x:c r="M59" s="35"/>
      <x:c r="N59" s="35"/>
      <x:c r="O59" s="36" t="str">
        <x:f>IF(OR(C59="",F59="",L59=""),"",SUM(F59:J59,L59:N59))</x:f>
      </x:c>
      <x:c r="P59" s="36" t="str">
        <x:f>IF(O59="","",C59-O59)</x:f>
      </x:c>
      <x:c r="Q59" s="38" t="str">
        <x:f>IF(OR(C59="",C59=0,P59=""),"",P59/C59)</x:f>
      </x:c>
      <x:c r="R59" s="34" t="str">
        <x:f>IF(A59="","",IF(OR(F59="",K59=""),"STOP: 未入力",IF(P59&lt;=0,"STOP: 利益なし","要確認")))</x:f>
      </x:c>
      <x:c r="S59" s="39"/>
      <x:c r="T59" s="33"/>
    </x:row>
    <x:row r="60">
      <x:c r="A60" s="33"/>
      <x:c r="B60" s="33"/>
      <x:c r="C60" s="35"/>
      <x:c r="D60" s="35"/>
      <x:c r="E60" s="35"/>
      <x:c r="F60" s="36" t="str">
        <x:f>IF(OR(D60="",E60=""),"",D60*E60)</x:f>
      </x:c>
      <x:c r="G60" s="35"/>
      <x:c r="H60" s="35"/>
      <x:c r="I60" s="35"/>
      <x:c r="J60" s="35"/>
      <x:c r="K60" s="37" t="str">
        <x:f>IF(OR(C60="",'設定'!$B$4=""),"",'設定'!$B$4)</x:f>
      </x:c>
      <x:c r="L60" s="36" t="str">
        <x:f>IF(OR(C60="",K60=""),"",C60*K60)</x:f>
      </x:c>
      <x:c r="M60" s="35"/>
      <x:c r="N60" s="35"/>
      <x:c r="O60" s="36" t="str">
        <x:f>IF(OR(C60="",F60="",L60=""),"",SUM(F60:J60,L60:N60))</x:f>
      </x:c>
      <x:c r="P60" s="36" t="str">
        <x:f>IF(O60="","",C60-O60)</x:f>
      </x:c>
      <x:c r="Q60" s="38" t="str">
        <x:f>IF(OR(C60="",C60=0,P60=""),"",P60/C60)</x:f>
      </x:c>
      <x:c r="R60" s="34" t="str">
        <x:f>IF(A60="","",IF(OR(F60="",K60=""),"STOP: 未入力",IF(P60&lt;=0,"STOP: 利益なし","要確認")))</x:f>
      </x:c>
      <x:c r="S60" s="39"/>
      <x:c r="T60" s="33"/>
    </x:row>
    <x:row r="61">
      <x:c r="A61" s="33"/>
      <x:c r="B61" s="33"/>
      <x:c r="C61" s="35"/>
      <x:c r="D61" s="35"/>
      <x:c r="E61" s="35"/>
      <x:c r="F61" s="36" t="str">
        <x:f>IF(OR(D61="",E61=""),"",D61*E61)</x:f>
      </x:c>
      <x:c r="G61" s="35"/>
      <x:c r="H61" s="35"/>
      <x:c r="I61" s="35"/>
      <x:c r="J61" s="35"/>
      <x:c r="K61" s="37" t="str">
        <x:f>IF(OR(C61="",'設定'!$B$4=""),"",'設定'!$B$4)</x:f>
      </x:c>
      <x:c r="L61" s="36" t="str">
        <x:f>IF(OR(C61="",K61=""),"",C61*K61)</x:f>
      </x:c>
      <x:c r="M61" s="35"/>
      <x:c r="N61" s="35"/>
      <x:c r="O61" s="36" t="str">
        <x:f>IF(OR(C61="",F61="",L61=""),"",SUM(F61:J61,L61:N61))</x:f>
      </x:c>
      <x:c r="P61" s="36" t="str">
        <x:f>IF(O61="","",C61-O61)</x:f>
      </x:c>
      <x:c r="Q61" s="38" t="str">
        <x:f>IF(OR(C61="",C61=0,P61=""),"",P61/C61)</x:f>
      </x:c>
      <x:c r="R61" s="34" t="str">
        <x:f>IF(A61="","",IF(OR(F61="",K61=""),"STOP: 未入力",IF(P61&lt;=0,"STOP: 利益なし","要確認")))</x:f>
      </x:c>
      <x:c r="S61" s="39"/>
      <x:c r="T61" s="33"/>
    </x:row>
    <x:row r="62">
      <x:c r="A62" s="33"/>
      <x:c r="B62" s="33"/>
      <x:c r="C62" s="35"/>
      <x:c r="D62" s="35"/>
      <x:c r="E62" s="35"/>
      <x:c r="F62" s="36" t="str">
        <x:f>IF(OR(D62="",E62=""),"",D62*E62)</x:f>
      </x:c>
      <x:c r="G62" s="35"/>
      <x:c r="H62" s="35"/>
      <x:c r="I62" s="35"/>
      <x:c r="J62" s="35"/>
      <x:c r="K62" s="37" t="str">
        <x:f>IF(OR(C62="",'設定'!$B$4=""),"",'設定'!$B$4)</x:f>
      </x:c>
      <x:c r="L62" s="36" t="str">
        <x:f>IF(OR(C62="",K62=""),"",C62*K62)</x:f>
      </x:c>
      <x:c r="M62" s="35"/>
      <x:c r="N62" s="35"/>
      <x:c r="O62" s="36" t="str">
        <x:f>IF(OR(C62="",F62="",L62=""),"",SUM(F62:J62,L62:N62))</x:f>
      </x:c>
      <x:c r="P62" s="36" t="str">
        <x:f>IF(O62="","",C62-O62)</x:f>
      </x:c>
      <x:c r="Q62" s="38" t="str">
        <x:f>IF(OR(C62="",C62=0,P62=""),"",P62/C62)</x:f>
      </x:c>
      <x:c r="R62" s="34" t="str">
        <x:f>IF(A62="","",IF(OR(F62="",K62=""),"STOP: 未入力",IF(P62&lt;=0,"STOP: 利益なし","要確認")))</x:f>
      </x:c>
      <x:c r="S62" s="39"/>
      <x:c r="T62" s="33"/>
    </x:row>
    <x:row r="63">
      <x:c r="A63" s="33"/>
      <x:c r="B63" s="33"/>
      <x:c r="C63" s="35"/>
      <x:c r="D63" s="35"/>
      <x:c r="E63" s="35"/>
      <x:c r="F63" s="36" t="str">
        <x:f>IF(OR(D63="",E63=""),"",D63*E63)</x:f>
      </x:c>
      <x:c r="G63" s="35"/>
      <x:c r="H63" s="35"/>
      <x:c r="I63" s="35"/>
      <x:c r="J63" s="35"/>
      <x:c r="K63" s="37" t="str">
        <x:f>IF(OR(C63="",'設定'!$B$4=""),"",'設定'!$B$4)</x:f>
      </x:c>
      <x:c r="L63" s="36" t="str">
        <x:f>IF(OR(C63="",K63=""),"",C63*K63)</x:f>
      </x:c>
      <x:c r="M63" s="35"/>
      <x:c r="N63" s="35"/>
      <x:c r="O63" s="36" t="str">
        <x:f>IF(OR(C63="",F63="",L63=""),"",SUM(F63:J63,L63:N63))</x:f>
      </x:c>
      <x:c r="P63" s="36" t="str">
        <x:f>IF(O63="","",C63-O63)</x:f>
      </x:c>
      <x:c r="Q63" s="38" t="str">
        <x:f>IF(OR(C63="",C63=0,P63=""),"",P63/C63)</x:f>
      </x:c>
      <x:c r="R63" s="34" t="str">
        <x:f>IF(A63="","",IF(OR(F63="",K63=""),"STOP: 未入力",IF(P63&lt;=0,"STOP: 利益なし","要確認")))</x:f>
      </x:c>
      <x:c r="S63" s="39"/>
      <x:c r="T63" s="33"/>
    </x:row>
    <x:row r="64">
      <x:c r="A64" s="33"/>
      <x:c r="B64" s="33"/>
      <x:c r="C64" s="35"/>
      <x:c r="D64" s="35"/>
      <x:c r="E64" s="35"/>
      <x:c r="F64" s="36" t="str">
        <x:f>IF(OR(D64="",E64=""),"",D64*E64)</x:f>
      </x:c>
      <x:c r="G64" s="35"/>
      <x:c r="H64" s="35"/>
      <x:c r="I64" s="35"/>
      <x:c r="J64" s="35"/>
      <x:c r="K64" s="37" t="str">
        <x:f>IF(OR(C64="",'設定'!$B$4=""),"",'設定'!$B$4)</x:f>
      </x:c>
      <x:c r="L64" s="36" t="str">
        <x:f>IF(OR(C64="",K64=""),"",C64*K64)</x:f>
      </x:c>
      <x:c r="M64" s="35"/>
      <x:c r="N64" s="35"/>
      <x:c r="O64" s="36" t="str">
        <x:f>IF(OR(C64="",F64="",L64=""),"",SUM(F64:J64,L64:N64))</x:f>
      </x:c>
      <x:c r="P64" s="36" t="str">
        <x:f>IF(O64="","",C64-O64)</x:f>
      </x:c>
      <x:c r="Q64" s="38" t="str">
        <x:f>IF(OR(C64="",C64=0,P64=""),"",P64/C64)</x:f>
      </x:c>
      <x:c r="R64" s="34" t="str">
        <x:f>IF(A64="","",IF(OR(F64="",K64=""),"STOP: 未入力",IF(P64&lt;=0,"STOP: 利益なし","要確認")))</x:f>
      </x:c>
      <x:c r="S64" s="39"/>
      <x:c r="T64" s="33"/>
    </x:row>
    <x:row r="65">
      <x:c r="A65" s="33"/>
      <x:c r="B65" s="33"/>
      <x:c r="C65" s="35"/>
      <x:c r="D65" s="35"/>
      <x:c r="E65" s="35"/>
      <x:c r="F65" s="36" t="str">
        <x:f>IF(OR(D65="",E65=""),"",D65*E65)</x:f>
      </x:c>
      <x:c r="G65" s="35"/>
      <x:c r="H65" s="35"/>
      <x:c r="I65" s="35"/>
      <x:c r="J65" s="35"/>
      <x:c r="K65" s="37" t="str">
        <x:f>IF(OR(C65="",'設定'!$B$4=""),"",'設定'!$B$4)</x:f>
      </x:c>
      <x:c r="L65" s="36" t="str">
        <x:f>IF(OR(C65="",K65=""),"",C65*K65)</x:f>
      </x:c>
      <x:c r="M65" s="35"/>
      <x:c r="N65" s="35"/>
      <x:c r="O65" s="36" t="str">
        <x:f>IF(OR(C65="",F65="",L65=""),"",SUM(F65:J65,L65:N65))</x:f>
      </x:c>
      <x:c r="P65" s="36" t="str">
        <x:f>IF(O65="","",C65-O65)</x:f>
      </x:c>
      <x:c r="Q65" s="38" t="str">
        <x:f>IF(OR(C65="",C65=0,P65=""),"",P65/C65)</x:f>
      </x:c>
      <x:c r="R65" s="34" t="str">
        <x:f>IF(A65="","",IF(OR(F65="",K65=""),"STOP: 未入力",IF(P65&lt;=0,"STOP: 利益なし","要確認")))</x:f>
      </x:c>
      <x:c r="S65" s="39"/>
      <x:c r="T65" s="33"/>
    </x:row>
    <x:row r="66">
      <x:c r="A66" s="33"/>
      <x:c r="B66" s="33"/>
      <x:c r="C66" s="35"/>
      <x:c r="D66" s="35"/>
      <x:c r="E66" s="35"/>
      <x:c r="F66" s="36" t="str">
        <x:f>IF(OR(D66="",E66=""),"",D66*E66)</x:f>
      </x:c>
      <x:c r="G66" s="35"/>
      <x:c r="H66" s="35"/>
      <x:c r="I66" s="35"/>
      <x:c r="J66" s="35"/>
      <x:c r="K66" s="37" t="str">
        <x:f>IF(OR(C66="",'設定'!$B$4=""),"",'設定'!$B$4)</x:f>
      </x:c>
      <x:c r="L66" s="36" t="str">
        <x:f>IF(OR(C66="",K66=""),"",C66*K66)</x:f>
      </x:c>
      <x:c r="M66" s="35"/>
      <x:c r="N66" s="35"/>
      <x:c r="O66" s="36" t="str">
        <x:f>IF(OR(C66="",F66="",L66=""),"",SUM(F66:J66,L66:N66))</x:f>
      </x:c>
      <x:c r="P66" s="36" t="str">
        <x:f>IF(O66="","",C66-O66)</x:f>
      </x:c>
      <x:c r="Q66" s="38" t="str">
        <x:f>IF(OR(C66="",C66=0,P66=""),"",P66/C66)</x:f>
      </x:c>
      <x:c r="R66" s="34" t="str">
        <x:f>IF(A66="","",IF(OR(F66="",K66=""),"STOP: 未入力",IF(P66&lt;=0,"STOP: 利益なし","要確認")))</x:f>
      </x:c>
      <x:c r="S66" s="39"/>
      <x:c r="T66" s="33"/>
    </x:row>
    <x:row r="67">
      <x:c r="A67" s="33"/>
      <x:c r="B67" s="33"/>
      <x:c r="C67" s="35"/>
      <x:c r="D67" s="35"/>
      <x:c r="E67" s="35"/>
      <x:c r="F67" s="36" t="str">
        <x:f>IF(OR(D67="",E67=""),"",D67*E67)</x:f>
      </x:c>
      <x:c r="G67" s="35"/>
      <x:c r="H67" s="35"/>
      <x:c r="I67" s="35"/>
      <x:c r="J67" s="35"/>
      <x:c r="K67" s="37" t="str">
        <x:f>IF(OR(C67="",'設定'!$B$4=""),"",'設定'!$B$4)</x:f>
      </x:c>
      <x:c r="L67" s="36" t="str">
        <x:f>IF(OR(C67="",K67=""),"",C67*K67)</x:f>
      </x:c>
      <x:c r="M67" s="35"/>
      <x:c r="N67" s="35"/>
      <x:c r="O67" s="36" t="str">
        <x:f>IF(OR(C67="",F67="",L67=""),"",SUM(F67:J67,L67:N67))</x:f>
      </x:c>
      <x:c r="P67" s="36" t="str">
        <x:f>IF(O67="","",C67-O67)</x:f>
      </x:c>
      <x:c r="Q67" s="38" t="str">
        <x:f>IF(OR(C67="",C67=0,P67=""),"",P67/C67)</x:f>
      </x:c>
      <x:c r="R67" s="34" t="str">
        <x:f>IF(A67="","",IF(OR(F67="",K67=""),"STOP: 未入力",IF(P67&lt;=0,"STOP: 利益なし","要確認")))</x:f>
      </x:c>
      <x:c r="S67" s="39"/>
      <x:c r="T67" s="33"/>
    </x:row>
    <x:row r="68">
      <x:c r="A68" s="33"/>
      <x:c r="B68" s="33"/>
      <x:c r="C68" s="35"/>
      <x:c r="D68" s="35"/>
      <x:c r="E68" s="35"/>
      <x:c r="F68" s="36" t="str">
        <x:f>IF(OR(D68="",E68=""),"",D68*E68)</x:f>
      </x:c>
      <x:c r="G68" s="35"/>
      <x:c r="H68" s="35"/>
      <x:c r="I68" s="35"/>
      <x:c r="J68" s="35"/>
      <x:c r="K68" s="37" t="str">
        <x:f>IF(OR(C68="",'設定'!$B$4=""),"",'設定'!$B$4)</x:f>
      </x:c>
      <x:c r="L68" s="36" t="str">
        <x:f>IF(OR(C68="",K68=""),"",C68*K68)</x:f>
      </x:c>
      <x:c r="M68" s="35"/>
      <x:c r="N68" s="35"/>
      <x:c r="O68" s="36" t="str">
        <x:f>IF(OR(C68="",F68="",L68=""),"",SUM(F68:J68,L68:N68))</x:f>
      </x:c>
      <x:c r="P68" s="36" t="str">
        <x:f>IF(O68="","",C68-O68)</x:f>
      </x:c>
      <x:c r="Q68" s="38" t="str">
        <x:f>IF(OR(C68="",C68=0,P68=""),"",P68/C68)</x:f>
      </x:c>
      <x:c r="R68" s="34" t="str">
        <x:f>IF(A68="","",IF(OR(F68="",K68=""),"STOP: 未入力",IF(P68&lt;=0,"STOP: 利益なし","要確認")))</x:f>
      </x:c>
      <x:c r="S68" s="39"/>
      <x:c r="T68" s="33"/>
    </x:row>
    <x:row r="69">
      <x:c r="A69" s="33"/>
      <x:c r="B69" s="33"/>
      <x:c r="C69" s="35"/>
      <x:c r="D69" s="35"/>
      <x:c r="E69" s="35"/>
      <x:c r="F69" s="36" t="str">
        <x:f>IF(OR(D69="",E69=""),"",D69*E69)</x:f>
      </x:c>
      <x:c r="G69" s="35"/>
      <x:c r="H69" s="35"/>
      <x:c r="I69" s="35"/>
      <x:c r="J69" s="35"/>
      <x:c r="K69" s="37" t="str">
        <x:f>IF(OR(C69="",'設定'!$B$4=""),"",'設定'!$B$4)</x:f>
      </x:c>
      <x:c r="L69" s="36" t="str">
        <x:f>IF(OR(C69="",K69=""),"",C69*K69)</x:f>
      </x:c>
      <x:c r="M69" s="35"/>
      <x:c r="N69" s="35"/>
      <x:c r="O69" s="36" t="str">
        <x:f>IF(OR(C69="",F69="",L69=""),"",SUM(F69:J69,L69:N69))</x:f>
      </x:c>
      <x:c r="P69" s="36" t="str">
        <x:f>IF(O69="","",C69-O69)</x:f>
      </x:c>
      <x:c r="Q69" s="38" t="str">
        <x:f>IF(OR(C69="",C69=0,P69=""),"",P69/C69)</x:f>
      </x:c>
      <x:c r="R69" s="34" t="str">
        <x:f>IF(A69="","",IF(OR(F69="",K69=""),"STOP: 未入力",IF(P69&lt;=0,"STOP: 利益なし","要確認")))</x:f>
      </x:c>
      <x:c r="S69" s="39"/>
      <x:c r="T69" s="33"/>
    </x:row>
    <x:row r="70">
      <x:c r="A70" s="33"/>
      <x:c r="B70" s="33"/>
      <x:c r="C70" s="35"/>
      <x:c r="D70" s="35"/>
      <x:c r="E70" s="35"/>
      <x:c r="F70" s="36" t="str">
        <x:f>IF(OR(D70="",E70=""),"",D70*E70)</x:f>
      </x:c>
      <x:c r="G70" s="35"/>
      <x:c r="H70" s="35"/>
      <x:c r="I70" s="35"/>
      <x:c r="J70" s="35"/>
      <x:c r="K70" s="37" t="str">
        <x:f>IF(OR(C70="",'設定'!$B$4=""),"",'設定'!$B$4)</x:f>
      </x:c>
      <x:c r="L70" s="36" t="str">
        <x:f>IF(OR(C70="",K70=""),"",C70*K70)</x:f>
      </x:c>
      <x:c r="M70" s="35"/>
      <x:c r="N70" s="35"/>
      <x:c r="O70" s="36" t="str">
        <x:f>IF(OR(C70="",F70="",L70=""),"",SUM(F70:J70,L70:N70))</x:f>
      </x:c>
      <x:c r="P70" s="36" t="str">
        <x:f>IF(O70="","",C70-O70)</x:f>
      </x:c>
      <x:c r="Q70" s="38" t="str">
        <x:f>IF(OR(C70="",C70=0,P70=""),"",P70/C70)</x:f>
      </x:c>
      <x:c r="R70" s="34" t="str">
        <x:f>IF(A70="","",IF(OR(F70="",K70=""),"STOP: 未入力",IF(P70&lt;=0,"STOP: 利益なし","要確認")))</x:f>
      </x:c>
      <x:c r="S70" s="39"/>
      <x:c r="T70" s="33"/>
    </x:row>
    <x:row r="71">
      <x:c r="A71" s="33"/>
      <x:c r="B71" s="33"/>
      <x:c r="C71" s="35"/>
      <x:c r="D71" s="35"/>
      <x:c r="E71" s="35"/>
      <x:c r="F71" s="36" t="str">
        <x:f>IF(OR(D71="",E71=""),"",D71*E71)</x:f>
      </x:c>
      <x:c r="G71" s="35"/>
      <x:c r="H71" s="35"/>
      <x:c r="I71" s="35"/>
      <x:c r="J71" s="35"/>
      <x:c r="K71" s="37" t="str">
        <x:f>IF(OR(C71="",'設定'!$B$4=""),"",'設定'!$B$4)</x:f>
      </x:c>
      <x:c r="L71" s="36" t="str">
        <x:f>IF(OR(C71="",K71=""),"",C71*K71)</x:f>
      </x:c>
      <x:c r="M71" s="35"/>
      <x:c r="N71" s="35"/>
      <x:c r="O71" s="36" t="str">
        <x:f>IF(OR(C71="",F71="",L71=""),"",SUM(F71:J71,L71:N71))</x:f>
      </x:c>
      <x:c r="P71" s="36" t="str">
        <x:f>IF(O71="","",C71-O71)</x:f>
      </x:c>
      <x:c r="Q71" s="38" t="str">
        <x:f>IF(OR(C71="",C71=0,P71=""),"",P71/C71)</x:f>
      </x:c>
      <x:c r="R71" s="34" t="str">
        <x:f>IF(A71="","",IF(OR(F71="",K71=""),"STOP: 未入力",IF(P71&lt;=0,"STOP: 利益なし","要確認")))</x:f>
      </x:c>
      <x:c r="S71" s="39"/>
      <x:c r="T71" s="33"/>
    </x:row>
    <x:row r="72">
      <x:c r="A72" s="33"/>
      <x:c r="B72" s="33"/>
      <x:c r="C72" s="35"/>
      <x:c r="D72" s="35"/>
      <x:c r="E72" s="35"/>
      <x:c r="F72" s="36" t="str">
        <x:f>IF(OR(D72="",E72=""),"",D72*E72)</x:f>
      </x:c>
      <x:c r="G72" s="35"/>
      <x:c r="H72" s="35"/>
      <x:c r="I72" s="35"/>
      <x:c r="J72" s="35"/>
      <x:c r="K72" s="37" t="str">
        <x:f>IF(OR(C72="",'設定'!$B$4=""),"",'設定'!$B$4)</x:f>
      </x:c>
      <x:c r="L72" s="36" t="str">
        <x:f>IF(OR(C72="",K72=""),"",C72*K72)</x:f>
      </x:c>
      <x:c r="M72" s="35"/>
      <x:c r="N72" s="35"/>
      <x:c r="O72" s="36" t="str">
        <x:f>IF(OR(C72="",F72="",L72=""),"",SUM(F72:J72,L72:N72))</x:f>
      </x:c>
      <x:c r="P72" s="36" t="str">
        <x:f>IF(O72="","",C72-O72)</x:f>
      </x:c>
      <x:c r="Q72" s="38" t="str">
        <x:f>IF(OR(C72="",C72=0,P72=""),"",P72/C72)</x:f>
      </x:c>
      <x:c r="R72" s="34" t="str">
        <x:f>IF(A72="","",IF(OR(F72="",K72=""),"STOP: 未入力",IF(P72&lt;=0,"STOP: 利益なし","要確認")))</x:f>
      </x:c>
      <x:c r="S72" s="39"/>
      <x:c r="T72" s="33"/>
    </x:row>
    <x:row r="73">
      <x:c r="A73" s="33"/>
      <x:c r="B73" s="33"/>
      <x:c r="C73" s="35"/>
      <x:c r="D73" s="35"/>
      <x:c r="E73" s="35"/>
      <x:c r="F73" s="36" t="str">
        <x:f>IF(OR(D73="",E73=""),"",D73*E73)</x:f>
      </x:c>
      <x:c r="G73" s="35"/>
      <x:c r="H73" s="35"/>
      <x:c r="I73" s="35"/>
      <x:c r="J73" s="35"/>
      <x:c r="K73" s="37" t="str">
        <x:f>IF(OR(C73="",'設定'!$B$4=""),"",'設定'!$B$4)</x:f>
      </x:c>
      <x:c r="L73" s="36" t="str">
        <x:f>IF(OR(C73="",K73=""),"",C73*K73)</x:f>
      </x:c>
      <x:c r="M73" s="35"/>
      <x:c r="N73" s="35"/>
      <x:c r="O73" s="36" t="str">
        <x:f>IF(OR(C73="",F73="",L73=""),"",SUM(F73:J73,L73:N73))</x:f>
      </x:c>
      <x:c r="P73" s="36" t="str">
        <x:f>IF(O73="","",C73-O73)</x:f>
      </x:c>
      <x:c r="Q73" s="38" t="str">
        <x:f>IF(OR(C73="",C73=0,P73=""),"",P73/C73)</x:f>
      </x:c>
      <x:c r="R73" s="34" t="str">
        <x:f>IF(A73="","",IF(OR(F73="",K73=""),"STOP: 未入力",IF(P73&lt;=0,"STOP: 利益なし","要確認")))</x:f>
      </x:c>
      <x:c r="S73" s="39"/>
      <x:c r="T73" s="33"/>
    </x:row>
    <x:row r="74">
      <x:c r="A74" s="33"/>
      <x:c r="B74" s="33"/>
      <x:c r="C74" s="35"/>
      <x:c r="D74" s="35"/>
      <x:c r="E74" s="35"/>
      <x:c r="F74" s="36" t="str">
        <x:f>IF(OR(D74="",E74=""),"",D74*E74)</x:f>
      </x:c>
      <x:c r="G74" s="35"/>
      <x:c r="H74" s="35"/>
      <x:c r="I74" s="35"/>
      <x:c r="J74" s="35"/>
      <x:c r="K74" s="37" t="str">
        <x:f>IF(OR(C74="",'設定'!$B$4=""),"",'設定'!$B$4)</x:f>
      </x:c>
      <x:c r="L74" s="36" t="str">
        <x:f>IF(OR(C74="",K74=""),"",C74*K74)</x:f>
      </x:c>
      <x:c r="M74" s="35"/>
      <x:c r="N74" s="35"/>
      <x:c r="O74" s="36" t="str">
        <x:f>IF(OR(C74="",F74="",L74=""),"",SUM(F74:J74,L74:N74))</x:f>
      </x:c>
      <x:c r="P74" s="36" t="str">
        <x:f>IF(O74="","",C74-O74)</x:f>
      </x:c>
      <x:c r="Q74" s="38" t="str">
        <x:f>IF(OR(C74="",C74=0,P74=""),"",P74/C74)</x:f>
      </x:c>
      <x:c r="R74" s="34" t="str">
        <x:f>IF(A74="","",IF(OR(F74="",K74=""),"STOP: 未入力",IF(P74&lt;=0,"STOP: 利益なし","要確認")))</x:f>
      </x:c>
      <x:c r="S74" s="39"/>
      <x:c r="T74" s="33"/>
    </x:row>
    <x:row r="75">
      <x:c r="A75" s="33"/>
      <x:c r="B75" s="33"/>
      <x:c r="C75" s="35"/>
      <x:c r="D75" s="35"/>
      <x:c r="E75" s="35"/>
      <x:c r="F75" s="36" t="str">
        <x:f>IF(OR(D75="",E75=""),"",D75*E75)</x:f>
      </x:c>
      <x:c r="G75" s="35"/>
      <x:c r="H75" s="35"/>
      <x:c r="I75" s="35"/>
      <x:c r="J75" s="35"/>
      <x:c r="K75" s="37" t="str">
        <x:f>IF(OR(C75="",'設定'!$B$4=""),"",'設定'!$B$4)</x:f>
      </x:c>
      <x:c r="L75" s="36" t="str">
        <x:f>IF(OR(C75="",K75=""),"",C75*K75)</x:f>
      </x:c>
      <x:c r="M75" s="35"/>
      <x:c r="N75" s="35"/>
      <x:c r="O75" s="36" t="str">
        <x:f>IF(OR(C75="",F75="",L75=""),"",SUM(F75:J75,L75:N75))</x:f>
      </x:c>
      <x:c r="P75" s="36" t="str">
        <x:f>IF(O75="","",C75-O75)</x:f>
      </x:c>
      <x:c r="Q75" s="38" t="str">
        <x:f>IF(OR(C75="",C75=0,P75=""),"",P75/C75)</x:f>
      </x:c>
      <x:c r="R75" s="34" t="str">
        <x:f>IF(A75="","",IF(OR(F75="",K75=""),"STOP: 未入力",IF(P75&lt;=0,"STOP: 利益なし","要確認")))</x:f>
      </x:c>
      <x:c r="S75" s="39"/>
      <x:c r="T75" s="33"/>
    </x:row>
    <x:row r="76">
      <x:c r="A76" s="33"/>
      <x:c r="B76" s="33"/>
      <x:c r="C76" s="35"/>
      <x:c r="D76" s="35"/>
      <x:c r="E76" s="35"/>
      <x:c r="F76" s="36" t="str">
        <x:f>IF(OR(D76="",E76=""),"",D76*E76)</x:f>
      </x:c>
      <x:c r="G76" s="35"/>
      <x:c r="H76" s="35"/>
      <x:c r="I76" s="35"/>
      <x:c r="J76" s="35"/>
      <x:c r="K76" s="37" t="str">
        <x:f>IF(OR(C76="",'設定'!$B$4=""),"",'設定'!$B$4)</x:f>
      </x:c>
      <x:c r="L76" s="36" t="str">
        <x:f>IF(OR(C76="",K76=""),"",C76*K76)</x:f>
      </x:c>
      <x:c r="M76" s="35"/>
      <x:c r="N76" s="35"/>
      <x:c r="O76" s="36" t="str">
        <x:f>IF(OR(C76="",F76="",L76=""),"",SUM(F76:J76,L76:N76))</x:f>
      </x:c>
      <x:c r="P76" s="36" t="str">
        <x:f>IF(O76="","",C76-O76)</x:f>
      </x:c>
      <x:c r="Q76" s="38" t="str">
        <x:f>IF(OR(C76="",C76=0,P76=""),"",P76/C76)</x:f>
      </x:c>
      <x:c r="R76" s="34" t="str">
        <x:f>IF(A76="","",IF(OR(F76="",K76=""),"STOP: 未入力",IF(P76&lt;=0,"STOP: 利益なし","要確認")))</x:f>
      </x:c>
      <x:c r="S76" s="39"/>
      <x:c r="T76" s="33"/>
    </x:row>
    <x:row r="77">
      <x:c r="A77" s="33"/>
      <x:c r="B77" s="33"/>
      <x:c r="C77" s="35"/>
      <x:c r="D77" s="35"/>
      <x:c r="E77" s="35"/>
      <x:c r="F77" s="36" t="str">
        <x:f>IF(OR(D77="",E77=""),"",D77*E77)</x:f>
      </x:c>
      <x:c r="G77" s="35"/>
      <x:c r="H77" s="35"/>
      <x:c r="I77" s="35"/>
      <x:c r="J77" s="35"/>
      <x:c r="K77" s="37" t="str">
        <x:f>IF(OR(C77="",'設定'!$B$4=""),"",'設定'!$B$4)</x:f>
      </x:c>
      <x:c r="L77" s="36" t="str">
        <x:f>IF(OR(C77="",K77=""),"",C77*K77)</x:f>
      </x:c>
      <x:c r="M77" s="35"/>
      <x:c r="N77" s="35"/>
      <x:c r="O77" s="36" t="str">
        <x:f>IF(OR(C77="",F77="",L77=""),"",SUM(F77:J77,L77:N77))</x:f>
      </x:c>
      <x:c r="P77" s="36" t="str">
        <x:f>IF(O77="","",C77-O77)</x:f>
      </x:c>
      <x:c r="Q77" s="38" t="str">
        <x:f>IF(OR(C77="",C77=0,P77=""),"",P77/C77)</x:f>
      </x:c>
      <x:c r="R77" s="34" t="str">
        <x:f>IF(A77="","",IF(OR(F77="",K77=""),"STOP: 未入力",IF(P77&lt;=0,"STOP: 利益なし","要確認")))</x:f>
      </x:c>
      <x:c r="S77" s="39"/>
      <x:c r="T77" s="33"/>
    </x:row>
    <x:row r="78">
      <x:c r="A78" s="33"/>
      <x:c r="B78" s="33"/>
      <x:c r="C78" s="35"/>
      <x:c r="D78" s="35"/>
      <x:c r="E78" s="35"/>
      <x:c r="F78" s="36" t="str">
        <x:f>IF(OR(D78="",E78=""),"",D78*E78)</x:f>
      </x:c>
      <x:c r="G78" s="35"/>
      <x:c r="H78" s="35"/>
      <x:c r="I78" s="35"/>
      <x:c r="J78" s="35"/>
      <x:c r="K78" s="37" t="str">
        <x:f>IF(OR(C78="",'設定'!$B$4=""),"",'設定'!$B$4)</x:f>
      </x:c>
      <x:c r="L78" s="36" t="str">
        <x:f>IF(OR(C78="",K78=""),"",C78*K78)</x:f>
      </x:c>
      <x:c r="M78" s="35"/>
      <x:c r="N78" s="35"/>
      <x:c r="O78" s="36" t="str">
        <x:f>IF(OR(C78="",F78="",L78=""),"",SUM(F78:J78,L78:N78))</x:f>
      </x:c>
      <x:c r="P78" s="36" t="str">
        <x:f>IF(O78="","",C78-O78)</x:f>
      </x:c>
      <x:c r="Q78" s="38" t="str">
        <x:f>IF(OR(C78="",C78=0,P78=""),"",P78/C78)</x:f>
      </x:c>
      <x:c r="R78" s="34" t="str">
        <x:f>IF(A78="","",IF(OR(F78="",K78=""),"STOP: 未入力",IF(P78&lt;=0,"STOP: 利益なし","要確認")))</x:f>
      </x:c>
      <x:c r="S78" s="39"/>
      <x:c r="T78" s="33"/>
    </x:row>
    <x:row r="79">
      <x:c r="A79" s="33"/>
      <x:c r="B79" s="33"/>
      <x:c r="C79" s="35"/>
      <x:c r="D79" s="35"/>
      <x:c r="E79" s="35"/>
      <x:c r="F79" s="36" t="str">
        <x:f>IF(OR(D79="",E79=""),"",D79*E79)</x:f>
      </x:c>
      <x:c r="G79" s="35"/>
      <x:c r="H79" s="35"/>
      <x:c r="I79" s="35"/>
      <x:c r="J79" s="35"/>
      <x:c r="K79" s="37" t="str">
        <x:f>IF(OR(C79="",'設定'!$B$4=""),"",'設定'!$B$4)</x:f>
      </x:c>
      <x:c r="L79" s="36" t="str">
        <x:f>IF(OR(C79="",K79=""),"",C79*K79)</x:f>
      </x:c>
      <x:c r="M79" s="35"/>
      <x:c r="N79" s="35"/>
      <x:c r="O79" s="36" t="str">
        <x:f>IF(OR(C79="",F79="",L79=""),"",SUM(F79:J79,L79:N79))</x:f>
      </x:c>
      <x:c r="P79" s="36" t="str">
        <x:f>IF(O79="","",C79-O79)</x:f>
      </x:c>
      <x:c r="Q79" s="38" t="str">
        <x:f>IF(OR(C79="",C79=0,P79=""),"",P79/C79)</x:f>
      </x:c>
      <x:c r="R79" s="34" t="str">
        <x:f>IF(A79="","",IF(OR(F79="",K79=""),"STOP: 未入力",IF(P79&lt;=0,"STOP: 利益なし","要確認")))</x:f>
      </x:c>
      <x:c r="S79" s="39"/>
      <x:c r="T79" s="33"/>
    </x:row>
    <x:row r="80">
      <x:c r="A80" s="33"/>
      <x:c r="B80" s="33"/>
      <x:c r="C80" s="35"/>
      <x:c r="D80" s="35"/>
      <x:c r="E80" s="35"/>
      <x:c r="F80" s="36" t="str">
        <x:f>IF(OR(D80="",E80=""),"",D80*E80)</x:f>
      </x:c>
      <x:c r="G80" s="35"/>
      <x:c r="H80" s="35"/>
      <x:c r="I80" s="35"/>
      <x:c r="J80" s="35"/>
      <x:c r="K80" s="37" t="str">
        <x:f>IF(OR(C80="",'設定'!$B$4=""),"",'設定'!$B$4)</x:f>
      </x:c>
      <x:c r="L80" s="36" t="str">
        <x:f>IF(OR(C80="",K80=""),"",C80*K80)</x:f>
      </x:c>
      <x:c r="M80" s="35"/>
      <x:c r="N80" s="35"/>
      <x:c r="O80" s="36" t="str">
        <x:f>IF(OR(C80="",F80="",L80=""),"",SUM(F80:J80,L80:N80))</x:f>
      </x:c>
      <x:c r="P80" s="36" t="str">
        <x:f>IF(O80="","",C80-O80)</x:f>
      </x:c>
      <x:c r="Q80" s="38" t="str">
        <x:f>IF(OR(C80="",C80=0,P80=""),"",P80/C80)</x:f>
      </x:c>
      <x:c r="R80" s="34" t="str">
        <x:f>IF(A80="","",IF(OR(F80="",K80=""),"STOP: 未入力",IF(P80&lt;=0,"STOP: 利益なし","要確認")))</x:f>
      </x:c>
      <x:c r="S80" s="39"/>
      <x:c r="T80" s="33"/>
    </x:row>
    <x:row r="81">
      <x:c r="A81" s="33"/>
      <x:c r="B81" s="33"/>
      <x:c r="C81" s="35"/>
      <x:c r="D81" s="35"/>
      <x:c r="E81" s="35"/>
      <x:c r="F81" s="36" t="str">
        <x:f>IF(OR(D81="",E81=""),"",D81*E81)</x:f>
      </x:c>
      <x:c r="G81" s="35"/>
      <x:c r="H81" s="35"/>
      <x:c r="I81" s="35"/>
      <x:c r="J81" s="35"/>
      <x:c r="K81" s="37" t="str">
        <x:f>IF(OR(C81="",'設定'!$B$4=""),"",'設定'!$B$4)</x:f>
      </x:c>
      <x:c r="L81" s="36" t="str">
        <x:f>IF(OR(C81="",K81=""),"",C81*K81)</x:f>
      </x:c>
      <x:c r="M81" s="35"/>
      <x:c r="N81" s="35"/>
      <x:c r="O81" s="36" t="str">
        <x:f>IF(OR(C81="",F81="",L81=""),"",SUM(F81:J81,L81:N81))</x:f>
      </x:c>
      <x:c r="P81" s="36" t="str">
        <x:f>IF(O81="","",C81-O81)</x:f>
      </x:c>
      <x:c r="Q81" s="38" t="str">
        <x:f>IF(OR(C81="",C81=0,P81=""),"",P81/C81)</x:f>
      </x:c>
      <x:c r="R81" s="34" t="str">
        <x:f>IF(A81="","",IF(OR(F81="",K81=""),"STOP: 未入力",IF(P81&lt;=0,"STOP: 利益なし","要確認")))</x:f>
      </x:c>
      <x:c r="S81" s="39"/>
      <x:c r="T81" s="33"/>
    </x:row>
    <x:row r="82">
      <x:c r="A82" s="33"/>
      <x:c r="B82" s="33"/>
      <x:c r="C82" s="35"/>
      <x:c r="D82" s="35"/>
      <x:c r="E82" s="35"/>
      <x:c r="F82" s="36" t="str">
        <x:f>IF(OR(D82="",E82=""),"",D82*E82)</x:f>
      </x:c>
      <x:c r="G82" s="35"/>
      <x:c r="H82" s="35"/>
      <x:c r="I82" s="35"/>
      <x:c r="J82" s="35"/>
      <x:c r="K82" s="37" t="str">
        <x:f>IF(OR(C82="",'設定'!$B$4=""),"",'設定'!$B$4)</x:f>
      </x:c>
      <x:c r="L82" s="36" t="str">
        <x:f>IF(OR(C82="",K82=""),"",C82*K82)</x:f>
      </x:c>
      <x:c r="M82" s="35"/>
      <x:c r="N82" s="35"/>
      <x:c r="O82" s="36" t="str">
        <x:f>IF(OR(C82="",F82="",L82=""),"",SUM(F82:J82,L82:N82))</x:f>
      </x:c>
      <x:c r="P82" s="36" t="str">
        <x:f>IF(O82="","",C82-O82)</x:f>
      </x:c>
      <x:c r="Q82" s="38" t="str">
        <x:f>IF(OR(C82="",C82=0,P82=""),"",P82/C82)</x:f>
      </x:c>
      <x:c r="R82" s="34" t="str">
        <x:f>IF(A82="","",IF(OR(F82="",K82=""),"STOP: 未入力",IF(P82&lt;=0,"STOP: 利益なし","要確認")))</x:f>
      </x:c>
      <x:c r="S82" s="39"/>
      <x:c r="T82" s="33"/>
    </x:row>
    <x:row r="83">
      <x:c r="A83" s="33"/>
      <x:c r="B83" s="33"/>
      <x:c r="C83" s="35"/>
      <x:c r="D83" s="35"/>
      <x:c r="E83" s="35"/>
      <x:c r="F83" s="36" t="str">
        <x:f>IF(OR(D83="",E83=""),"",D83*E83)</x:f>
      </x:c>
      <x:c r="G83" s="35"/>
      <x:c r="H83" s="35"/>
      <x:c r="I83" s="35"/>
      <x:c r="J83" s="35"/>
      <x:c r="K83" s="37" t="str">
        <x:f>IF(OR(C83="",'設定'!$B$4=""),"",'設定'!$B$4)</x:f>
      </x:c>
      <x:c r="L83" s="36" t="str">
        <x:f>IF(OR(C83="",K83=""),"",C83*K83)</x:f>
      </x:c>
      <x:c r="M83" s="35"/>
      <x:c r="N83" s="35"/>
      <x:c r="O83" s="36" t="str">
        <x:f>IF(OR(C83="",F83="",L83=""),"",SUM(F83:J83,L83:N83))</x:f>
      </x:c>
      <x:c r="P83" s="36" t="str">
        <x:f>IF(O83="","",C83-O83)</x:f>
      </x:c>
      <x:c r="Q83" s="38" t="str">
        <x:f>IF(OR(C83="",C83=0,P83=""),"",P83/C83)</x:f>
      </x:c>
      <x:c r="R83" s="34" t="str">
        <x:f>IF(A83="","",IF(OR(F83="",K83=""),"STOP: 未入力",IF(P83&lt;=0,"STOP: 利益なし","要確認")))</x:f>
      </x:c>
      <x:c r="S83" s="39"/>
      <x:c r="T83" s="33"/>
    </x:row>
    <x:row r="84">
      <x:c r="A84" s="33"/>
      <x:c r="B84" s="33"/>
      <x:c r="C84" s="35"/>
      <x:c r="D84" s="35"/>
      <x:c r="E84" s="35"/>
      <x:c r="F84" s="36" t="str">
        <x:f>IF(OR(D84="",E84=""),"",D84*E84)</x:f>
      </x:c>
      <x:c r="G84" s="35"/>
      <x:c r="H84" s="35"/>
      <x:c r="I84" s="35"/>
      <x:c r="J84" s="35"/>
      <x:c r="K84" s="37" t="str">
        <x:f>IF(OR(C84="",'設定'!$B$4=""),"",'設定'!$B$4)</x:f>
      </x:c>
      <x:c r="L84" s="36" t="str">
        <x:f>IF(OR(C84="",K84=""),"",C84*K84)</x:f>
      </x:c>
      <x:c r="M84" s="35"/>
      <x:c r="N84" s="35"/>
      <x:c r="O84" s="36" t="str">
        <x:f>IF(OR(C84="",F84="",L84=""),"",SUM(F84:J84,L84:N84))</x:f>
      </x:c>
      <x:c r="P84" s="36" t="str">
        <x:f>IF(O84="","",C84-O84)</x:f>
      </x:c>
      <x:c r="Q84" s="38" t="str">
        <x:f>IF(OR(C84="",C84=0,P84=""),"",P84/C84)</x:f>
      </x:c>
      <x:c r="R84" s="34" t="str">
        <x:f>IF(A84="","",IF(OR(F84="",K84=""),"STOP: 未入力",IF(P84&lt;=0,"STOP: 利益なし","要確認")))</x:f>
      </x:c>
      <x:c r="S84" s="39"/>
      <x:c r="T84" s="33"/>
    </x:row>
    <x:row r="85">
      <x:c r="A85" s="33"/>
      <x:c r="B85" s="33"/>
      <x:c r="C85" s="35"/>
      <x:c r="D85" s="35"/>
      <x:c r="E85" s="35"/>
      <x:c r="F85" s="36" t="str">
        <x:f>IF(OR(D85="",E85=""),"",D85*E85)</x:f>
      </x:c>
      <x:c r="G85" s="35"/>
      <x:c r="H85" s="35"/>
      <x:c r="I85" s="35"/>
      <x:c r="J85" s="35"/>
      <x:c r="K85" s="37" t="str">
        <x:f>IF(OR(C85="",'設定'!$B$4=""),"",'設定'!$B$4)</x:f>
      </x:c>
      <x:c r="L85" s="36" t="str">
        <x:f>IF(OR(C85="",K85=""),"",C85*K85)</x:f>
      </x:c>
      <x:c r="M85" s="35"/>
      <x:c r="N85" s="35"/>
      <x:c r="O85" s="36" t="str">
        <x:f>IF(OR(C85="",F85="",L85=""),"",SUM(F85:J85,L85:N85))</x:f>
      </x:c>
      <x:c r="P85" s="36" t="str">
        <x:f>IF(O85="","",C85-O85)</x:f>
      </x:c>
      <x:c r="Q85" s="38" t="str">
        <x:f>IF(OR(C85="",C85=0,P85=""),"",P85/C85)</x:f>
      </x:c>
      <x:c r="R85" s="34" t="str">
        <x:f>IF(A85="","",IF(OR(F85="",K85=""),"STOP: 未入力",IF(P85&lt;=0,"STOP: 利益なし","要確認")))</x:f>
      </x:c>
      <x:c r="S85" s="39"/>
      <x:c r="T85" s="33"/>
    </x:row>
    <x:row r="86">
      <x:c r="A86" s="33"/>
      <x:c r="B86" s="33"/>
      <x:c r="C86" s="35"/>
      <x:c r="D86" s="35"/>
      <x:c r="E86" s="35"/>
      <x:c r="F86" s="36" t="str">
        <x:f>IF(OR(D86="",E86=""),"",D86*E86)</x:f>
      </x:c>
      <x:c r="G86" s="35"/>
      <x:c r="H86" s="35"/>
      <x:c r="I86" s="35"/>
      <x:c r="J86" s="35"/>
      <x:c r="K86" s="37" t="str">
        <x:f>IF(OR(C86="",'設定'!$B$4=""),"",'設定'!$B$4)</x:f>
      </x:c>
      <x:c r="L86" s="36" t="str">
        <x:f>IF(OR(C86="",K86=""),"",C86*K86)</x:f>
      </x:c>
      <x:c r="M86" s="35"/>
      <x:c r="N86" s="35"/>
      <x:c r="O86" s="36" t="str">
        <x:f>IF(OR(C86="",F86="",L86=""),"",SUM(F86:J86,L86:N86))</x:f>
      </x:c>
      <x:c r="P86" s="36" t="str">
        <x:f>IF(O86="","",C86-O86)</x:f>
      </x:c>
      <x:c r="Q86" s="38" t="str">
        <x:f>IF(OR(C86="",C86=0,P86=""),"",P86/C86)</x:f>
      </x:c>
      <x:c r="R86" s="34" t="str">
        <x:f>IF(A86="","",IF(OR(F86="",K86=""),"STOP: 未入力",IF(P86&lt;=0,"STOP: 利益なし","要確認")))</x:f>
      </x:c>
      <x:c r="S86" s="39"/>
      <x:c r="T86" s="33"/>
    </x:row>
    <x:row r="87">
      <x:c r="A87" s="33"/>
      <x:c r="B87" s="33"/>
      <x:c r="C87" s="35"/>
      <x:c r="D87" s="35"/>
      <x:c r="E87" s="35"/>
      <x:c r="F87" s="36" t="str">
        <x:f>IF(OR(D87="",E87=""),"",D87*E87)</x:f>
      </x:c>
      <x:c r="G87" s="35"/>
      <x:c r="H87" s="35"/>
      <x:c r="I87" s="35"/>
      <x:c r="J87" s="35"/>
      <x:c r="K87" s="37" t="str">
        <x:f>IF(OR(C87="",'設定'!$B$4=""),"",'設定'!$B$4)</x:f>
      </x:c>
      <x:c r="L87" s="36" t="str">
        <x:f>IF(OR(C87="",K87=""),"",C87*K87)</x:f>
      </x:c>
      <x:c r="M87" s="35"/>
      <x:c r="N87" s="35"/>
      <x:c r="O87" s="36" t="str">
        <x:f>IF(OR(C87="",F87="",L87=""),"",SUM(F87:J87,L87:N87))</x:f>
      </x:c>
      <x:c r="P87" s="36" t="str">
        <x:f>IF(O87="","",C87-O87)</x:f>
      </x:c>
      <x:c r="Q87" s="38" t="str">
        <x:f>IF(OR(C87="",C87=0,P87=""),"",P87/C87)</x:f>
      </x:c>
      <x:c r="R87" s="34" t="str">
        <x:f>IF(A87="","",IF(OR(F87="",K87=""),"STOP: 未入力",IF(P87&lt;=0,"STOP: 利益なし","要確認")))</x:f>
      </x:c>
      <x:c r="S87" s="39"/>
      <x:c r="T87" s="33"/>
    </x:row>
    <x:row r="88">
      <x:c r="A88" s="33"/>
      <x:c r="B88" s="33"/>
      <x:c r="C88" s="35"/>
      <x:c r="D88" s="35"/>
      <x:c r="E88" s="35"/>
      <x:c r="F88" s="36" t="str">
        <x:f>IF(OR(D88="",E88=""),"",D88*E88)</x:f>
      </x:c>
      <x:c r="G88" s="35"/>
      <x:c r="H88" s="35"/>
      <x:c r="I88" s="35"/>
      <x:c r="J88" s="35"/>
      <x:c r="K88" s="37" t="str">
        <x:f>IF(OR(C88="",'設定'!$B$4=""),"",'設定'!$B$4)</x:f>
      </x:c>
      <x:c r="L88" s="36" t="str">
        <x:f>IF(OR(C88="",K88=""),"",C88*K88)</x:f>
      </x:c>
      <x:c r="M88" s="35"/>
      <x:c r="N88" s="35"/>
      <x:c r="O88" s="36" t="str">
        <x:f>IF(OR(C88="",F88="",L88=""),"",SUM(F88:J88,L88:N88))</x:f>
      </x:c>
      <x:c r="P88" s="36" t="str">
        <x:f>IF(O88="","",C88-O88)</x:f>
      </x:c>
      <x:c r="Q88" s="38" t="str">
        <x:f>IF(OR(C88="",C88=0,P88=""),"",P88/C88)</x:f>
      </x:c>
      <x:c r="R88" s="34" t="str">
        <x:f>IF(A88="","",IF(OR(F88="",K88=""),"STOP: 未入力",IF(P88&lt;=0,"STOP: 利益なし","要確認")))</x:f>
      </x:c>
      <x:c r="S88" s="39"/>
      <x:c r="T88" s="33"/>
    </x:row>
    <x:row r="89">
      <x:c r="A89" s="33"/>
      <x:c r="B89" s="33"/>
      <x:c r="C89" s="35"/>
      <x:c r="D89" s="35"/>
      <x:c r="E89" s="35"/>
      <x:c r="F89" s="36" t="str">
        <x:f>IF(OR(D89="",E89=""),"",D89*E89)</x:f>
      </x:c>
      <x:c r="G89" s="35"/>
      <x:c r="H89" s="35"/>
      <x:c r="I89" s="35"/>
      <x:c r="J89" s="35"/>
      <x:c r="K89" s="37" t="str">
        <x:f>IF(OR(C89="",'設定'!$B$4=""),"",'設定'!$B$4)</x:f>
      </x:c>
      <x:c r="L89" s="36" t="str">
        <x:f>IF(OR(C89="",K89=""),"",C89*K89)</x:f>
      </x:c>
      <x:c r="M89" s="35"/>
      <x:c r="N89" s="35"/>
      <x:c r="O89" s="36" t="str">
        <x:f>IF(OR(C89="",F89="",L89=""),"",SUM(F89:J89,L89:N89))</x:f>
      </x:c>
      <x:c r="P89" s="36" t="str">
        <x:f>IF(O89="","",C89-O89)</x:f>
      </x:c>
      <x:c r="Q89" s="38" t="str">
        <x:f>IF(OR(C89="",C89=0,P89=""),"",P89/C89)</x:f>
      </x:c>
      <x:c r="R89" s="34" t="str">
        <x:f>IF(A89="","",IF(OR(F89="",K89=""),"STOP: 未入力",IF(P89&lt;=0,"STOP: 利益なし","要確認")))</x:f>
      </x:c>
      <x:c r="S89" s="39"/>
      <x:c r="T89" s="33"/>
    </x:row>
    <x:row r="90">
      <x:c r="A90" s="33"/>
      <x:c r="B90" s="33"/>
      <x:c r="C90" s="35"/>
      <x:c r="D90" s="35"/>
      <x:c r="E90" s="35"/>
      <x:c r="F90" s="36" t="str">
        <x:f>IF(OR(D90="",E90=""),"",D90*E90)</x:f>
      </x:c>
      <x:c r="G90" s="35"/>
      <x:c r="H90" s="35"/>
      <x:c r="I90" s="35"/>
      <x:c r="J90" s="35"/>
      <x:c r="K90" s="37" t="str">
        <x:f>IF(OR(C90="",'設定'!$B$4=""),"",'設定'!$B$4)</x:f>
      </x:c>
      <x:c r="L90" s="36" t="str">
        <x:f>IF(OR(C90="",K90=""),"",C90*K90)</x:f>
      </x:c>
      <x:c r="M90" s="35"/>
      <x:c r="N90" s="35"/>
      <x:c r="O90" s="36" t="str">
        <x:f>IF(OR(C90="",F90="",L90=""),"",SUM(F90:J90,L90:N90))</x:f>
      </x:c>
      <x:c r="P90" s="36" t="str">
        <x:f>IF(O90="","",C90-O90)</x:f>
      </x:c>
      <x:c r="Q90" s="38" t="str">
        <x:f>IF(OR(C90="",C90=0,P90=""),"",P90/C90)</x:f>
      </x:c>
      <x:c r="R90" s="34" t="str">
        <x:f>IF(A90="","",IF(OR(F90="",K90=""),"STOP: 未入力",IF(P90&lt;=0,"STOP: 利益なし","要確認")))</x:f>
      </x:c>
      <x:c r="S90" s="39"/>
      <x:c r="T90" s="33"/>
    </x:row>
    <x:row r="91">
      <x:c r="A91" s="33"/>
      <x:c r="B91" s="33"/>
      <x:c r="C91" s="35"/>
      <x:c r="D91" s="35"/>
      <x:c r="E91" s="35"/>
      <x:c r="F91" s="36" t="str">
        <x:f>IF(OR(D91="",E91=""),"",D91*E91)</x:f>
      </x:c>
      <x:c r="G91" s="35"/>
      <x:c r="H91" s="35"/>
      <x:c r="I91" s="35"/>
      <x:c r="J91" s="35"/>
      <x:c r="K91" s="37" t="str">
        <x:f>IF(OR(C91="",'設定'!$B$4=""),"",'設定'!$B$4)</x:f>
      </x:c>
      <x:c r="L91" s="36" t="str">
        <x:f>IF(OR(C91="",K91=""),"",C91*K91)</x:f>
      </x:c>
      <x:c r="M91" s="35"/>
      <x:c r="N91" s="35"/>
      <x:c r="O91" s="36" t="str">
        <x:f>IF(OR(C91="",F91="",L91=""),"",SUM(F91:J91,L91:N91))</x:f>
      </x:c>
      <x:c r="P91" s="36" t="str">
        <x:f>IF(O91="","",C91-O91)</x:f>
      </x:c>
      <x:c r="Q91" s="38" t="str">
        <x:f>IF(OR(C91="",C91=0,P91=""),"",P91/C91)</x:f>
      </x:c>
      <x:c r="R91" s="34" t="str">
        <x:f>IF(A91="","",IF(OR(F91="",K91=""),"STOP: 未入力",IF(P91&lt;=0,"STOP: 利益なし","要確認")))</x:f>
      </x:c>
      <x:c r="S91" s="39"/>
      <x:c r="T91" s="33"/>
    </x:row>
    <x:row r="92">
      <x:c r="A92" s="33"/>
      <x:c r="B92" s="33"/>
      <x:c r="C92" s="35"/>
      <x:c r="D92" s="35"/>
      <x:c r="E92" s="35"/>
      <x:c r="F92" s="36" t="str">
        <x:f>IF(OR(D92="",E92=""),"",D92*E92)</x:f>
      </x:c>
      <x:c r="G92" s="35"/>
      <x:c r="H92" s="35"/>
      <x:c r="I92" s="35"/>
      <x:c r="J92" s="35"/>
      <x:c r="K92" s="37" t="str">
        <x:f>IF(OR(C92="",'設定'!$B$4=""),"",'設定'!$B$4)</x:f>
      </x:c>
      <x:c r="L92" s="36" t="str">
        <x:f>IF(OR(C92="",K92=""),"",C92*K92)</x:f>
      </x:c>
      <x:c r="M92" s="35"/>
      <x:c r="N92" s="35"/>
      <x:c r="O92" s="36" t="str">
        <x:f>IF(OR(C92="",F92="",L92=""),"",SUM(F92:J92,L92:N92))</x:f>
      </x:c>
      <x:c r="P92" s="36" t="str">
        <x:f>IF(O92="","",C92-O92)</x:f>
      </x:c>
      <x:c r="Q92" s="38" t="str">
        <x:f>IF(OR(C92="",C92=0,P92=""),"",P92/C92)</x:f>
      </x:c>
      <x:c r="R92" s="34" t="str">
        <x:f>IF(A92="","",IF(OR(F92="",K92=""),"STOP: 未入力",IF(P92&lt;=0,"STOP: 利益なし","要確認")))</x:f>
      </x:c>
      <x:c r="S92" s="39"/>
      <x:c r="T92" s="33"/>
    </x:row>
    <x:row r="93">
      <x:c r="A93" s="33"/>
      <x:c r="B93" s="33"/>
      <x:c r="C93" s="35"/>
      <x:c r="D93" s="35"/>
      <x:c r="E93" s="35"/>
      <x:c r="F93" s="36" t="str">
        <x:f>IF(OR(D93="",E93=""),"",D93*E93)</x:f>
      </x:c>
      <x:c r="G93" s="35"/>
      <x:c r="H93" s="35"/>
      <x:c r="I93" s="35"/>
      <x:c r="J93" s="35"/>
      <x:c r="K93" s="37" t="str">
        <x:f>IF(OR(C93="",'設定'!$B$4=""),"",'設定'!$B$4)</x:f>
      </x:c>
      <x:c r="L93" s="36" t="str">
        <x:f>IF(OR(C93="",K93=""),"",C93*K93)</x:f>
      </x:c>
      <x:c r="M93" s="35"/>
      <x:c r="N93" s="35"/>
      <x:c r="O93" s="36" t="str">
        <x:f>IF(OR(C93="",F93="",L93=""),"",SUM(F93:J93,L93:N93))</x:f>
      </x:c>
      <x:c r="P93" s="36" t="str">
        <x:f>IF(O93="","",C93-O93)</x:f>
      </x:c>
      <x:c r="Q93" s="38" t="str">
        <x:f>IF(OR(C93="",C93=0,P93=""),"",P93/C93)</x:f>
      </x:c>
      <x:c r="R93" s="34" t="str">
        <x:f>IF(A93="","",IF(OR(F93="",K93=""),"STOP: 未入力",IF(P93&lt;=0,"STOP: 利益なし","要確認")))</x:f>
      </x:c>
      <x:c r="S93" s="39"/>
      <x:c r="T93" s="33"/>
    </x:row>
    <x:row r="94">
      <x:c r="A94" s="33"/>
      <x:c r="B94" s="33"/>
      <x:c r="C94" s="35"/>
      <x:c r="D94" s="35"/>
      <x:c r="E94" s="35"/>
      <x:c r="F94" s="36" t="str">
        <x:f>IF(OR(D94="",E94=""),"",D94*E94)</x:f>
      </x:c>
      <x:c r="G94" s="35"/>
      <x:c r="H94" s="35"/>
      <x:c r="I94" s="35"/>
      <x:c r="J94" s="35"/>
      <x:c r="K94" s="37" t="str">
        <x:f>IF(OR(C94="",'設定'!$B$4=""),"",'設定'!$B$4)</x:f>
      </x:c>
      <x:c r="L94" s="36" t="str">
        <x:f>IF(OR(C94="",K94=""),"",C94*K94)</x:f>
      </x:c>
      <x:c r="M94" s="35"/>
      <x:c r="N94" s="35"/>
      <x:c r="O94" s="36" t="str">
        <x:f>IF(OR(C94="",F94="",L94=""),"",SUM(F94:J94,L94:N94))</x:f>
      </x:c>
      <x:c r="P94" s="36" t="str">
        <x:f>IF(O94="","",C94-O94)</x:f>
      </x:c>
      <x:c r="Q94" s="38" t="str">
        <x:f>IF(OR(C94="",C94=0,P94=""),"",P94/C94)</x:f>
      </x:c>
      <x:c r="R94" s="34" t="str">
        <x:f>IF(A94="","",IF(OR(F94="",K94=""),"STOP: 未入力",IF(P94&lt;=0,"STOP: 利益なし","要確認")))</x:f>
      </x:c>
      <x:c r="S94" s="39"/>
      <x:c r="T94" s="33"/>
    </x:row>
    <x:row r="95">
      <x:c r="A95" s="33"/>
      <x:c r="B95" s="33"/>
      <x:c r="C95" s="35"/>
      <x:c r="D95" s="35"/>
      <x:c r="E95" s="35"/>
      <x:c r="F95" s="36" t="str">
        <x:f>IF(OR(D95="",E95=""),"",D95*E95)</x:f>
      </x:c>
      <x:c r="G95" s="35"/>
      <x:c r="H95" s="35"/>
      <x:c r="I95" s="35"/>
      <x:c r="J95" s="35"/>
      <x:c r="K95" s="37" t="str">
        <x:f>IF(OR(C95="",'設定'!$B$4=""),"",'設定'!$B$4)</x:f>
      </x:c>
      <x:c r="L95" s="36" t="str">
        <x:f>IF(OR(C95="",K95=""),"",C95*K95)</x:f>
      </x:c>
      <x:c r="M95" s="35"/>
      <x:c r="N95" s="35"/>
      <x:c r="O95" s="36" t="str">
        <x:f>IF(OR(C95="",F95="",L95=""),"",SUM(F95:J95,L95:N95))</x:f>
      </x:c>
      <x:c r="P95" s="36" t="str">
        <x:f>IF(O95="","",C95-O95)</x:f>
      </x:c>
      <x:c r="Q95" s="38" t="str">
        <x:f>IF(OR(C95="",C95=0,P95=""),"",P95/C95)</x:f>
      </x:c>
      <x:c r="R95" s="34" t="str">
        <x:f>IF(A95="","",IF(OR(F95="",K95=""),"STOP: 未入力",IF(P95&lt;=0,"STOP: 利益なし","要確認")))</x:f>
      </x:c>
      <x:c r="S95" s="39"/>
      <x:c r="T95" s="33"/>
    </x:row>
    <x:row r="96">
      <x:c r="A96" s="33"/>
      <x:c r="B96" s="33"/>
      <x:c r="C96" s="35"/>
      <x:c r="D96" s="35"/>
      <x:c r="E96" s="35"/>
      <x:c r="F96" s="36" t="str">
        <x:f>IF(OR(D96="",E96=""),"",D96*E96)</x:f>
      </x:c>
      <x:c r="G96" s="35"/>
      <x:c r="H96" s="35"/>
      <x:c r="I96" s="35"/>
      <x:c r="J96" s="35"/>
      <x:c r="K96" s="37" t="str">
        <x:f>IF(OR(C96="",'設定'!$B$4=""),"",'設定'!$B$4)</x:f>
      </x:c>
      <x:c r="L96" s="36" t="str">
        <x:f>IF(OR(C96="",K96=""),"",C96*K96)</x:f>
      </x:c>
      <x:c r="M96" s="35"/>
      <x:c r="N96" s="35"/>
      <x:c r="O96" s="36" t="str">
        <x:f>IF(OR(C96="",F96="",L96=""),"",SUM(F96:J96,L96:N96))</x:f>
      </x:c>
      <x:c r="P96" s="36" t="str">
        <x:f>IF(O96="","",C96-O96)</x:f>
      </x:c>
      <x:c r="Q96" s="38" t="str">
        <x:f>IF(OR(C96="",C96=0,P96=""),"",P96/C96)</x:f>
      </x:c>
      <x:c r="R96" s="34" t="str">
        <x:f>IF(A96="","",IF(OR(F96="",K96=""),"STOP: 未入力",IF(P96&lt;=0,"STOP: 利益なし","要確認")))</x:f>
      </x:c>
      <x:c r="S96" s="39"/>
      <x:c r="T96" s="33"/>
    </x:row>
    <x:row r="97">
      <x:c r="A97" s="33"/>
      <x:c r="B97" s="33"/>
      <x:c r="C97" s="35"/>
      <x:c r="D97" s="35"/>
      <x:c r="E97" s="35"/>
      <x:c r="F97" s="36" t="str">
        <x:f>IF(OR(D97="",E97=""),"",D97*E97)</x:f>
      </x:c>
      <x:c r="G97" s="35"/>
      <x:c r="H97" s="35"/>
      <x:c r="I97" s="35"/>
      <x:c r="J97" s="35"/>
      <x:c r="K97" s="37" t="str">
        <x:f>IF(OR(C97="",'設定'!$B$4=""),"",'設定'!$B$4)</x:f>
      </x:c>
      <x:c r="L97" s="36" t="str">
        <x:f>IF(OR(C97="",K97=""),"",C97*K97)</x:f>
      </x:c>
      <x:c r="M97" s="35"/>
      <x:c r="N97" s="35"/>
      <x:c r="O97" s="36" t="str">
        <x:f>IF(OR(C97="",F97="",L97=""),"",SUM(F97:J97,L97:N97))</x:f>
      </x:c>
      <x:c r="P97" s="36" t="str">
        <x:f>IF(O97="","",C97-O97)</x:f>
      </x:c>
      <x:c r="Q97" s="38" t="str">
        <x:f>IF(OR(C97="",C97=0,P97=""),"",P97/C97)</x:f>
      </x:c>
      <x:c r="R97" s="34" t="str">
        <x:f>IF(A97="","",IF(OR(F97="",K97=""),"STOP: 未入力",IF(P97&lt;=0,"STOP: 利益なし","要確認")))</x:f>
      </x:c>
      <x:c r="S97" s="39"/>
      <x:c r="T97" s="33"/>
    </x:row>
    <x:row r="98">
      <x:c r="A98" s="33"/>
      <x:c r="B98" s="33"/>
      <x:c r="C98" s="35"/>
      <x:c r="D98" s="35"/>
      <x:c r="E98" s="35"/>
      <x:c r="F98" s="36" t="str">
        <x:f>IF(OR(D98="",E98=""),"",D98*E98)</x:f>
      </x:c>
      <x:c r="G98" s="35"/>
      <x:c r="H98" s="35"/>
      <x:c r="I98" s="35"/>
      <x:c r="J98" s="35"/>
      <x:c r="K98" s="37" t="str">
        <x:f>IF(OR(C98="",'設定'!$B$4=""),"",'設定'!$B$4)</x:f>
      </x:c>
      <x:c r="L98" s="36" t="str">
        <x:f>IF(OR(C98="",K98=""),"",C98*K98)</x:f>
      </x:c>
      <x:c r="M98" s="35"/>
      <x:c r="N98" s="35"/>
      <x:c r="O98" s="36" t="str">
        <x:f>IF(OR(C98="",F98="",L98=""),"",SUM(F98:J98,L98:N98))</x:f>
      </x:c>
      <x:c r="P98" s="36" t="str">
        <x:f>IF(O98="","",C98-O98)</x:f>
      </x:c>
      <x:c r="Q98" s="38" t="str">
        <x:f>IF(OR(C98="",C98=0,P98=""),"",P98/C98)</x:f>
      </x:c>
      <x:c r="R98" s="34" t="str">
        <x:f>IF(A98="","",IF(OR(F98="",K98=""),"STOP: 未入力",IF(P98&lt;=0,"STOP: 利益なし","要確認")))</x:f>
      </x:c>
      <x:c r="S98" s="39"/>
      <x:c r="T98" s="33"/>
    </x:row>
    <x:row r="99">
      <x:c r="A99" s="33"/>
      <x:c r="B99" s="33"/>
      <x:c r="C99" s="35"/>
      <x:c r="D99" s="35"/>
      <x:c r="E99" s="35"/>
      <x:c r="F99" s="36" t="str">
        <x:f>IF(OR(D99="",E99=""),"",D99*E99)</x:f>
      </x:c>
      <x:c r="G99" s="35"/>
      <x:c r="H99" s="35"/>
      <x:c r="I99" s="35"/>
      <x:c r="J99" s="35"/>
      <x:c r="K99" s="37" t="str">
        <x:f>IF(OR(C99="",'設定'!$B$4=""),"",'設定'!$B$4)</x:f>
      </x:c>
      <x:c r="L99" s="36" t="str">
        <x:f>IF(OR(C99="",K99=""),"",C99*K99)</x:f>
      </x:c>
      <x:c r="M99" s="35"/>
      <x:c r="N99" s="35"/>
      <x:c r="O99" s="36" t="str">
        <x:f>IF(OR(C99="",F99="",L99=""),"",SUM(F99:J99,L99:N99))</x:f>
      </x:c>
      <x:c r="P99" s="36" t="str">
        <x:f>IF(O99="","",C99-O99)</x:f>
      </x:c>
      <x:c r="Q99" s="38" t="str">
        <x:f>IF(OR(C99="",C99=0,P99=""),"",P99/C99)</x:f>
      </x:c>
      <x:c r="R99" s="34" t="str">
        <x:f>IF(A99="","",IF(OR(F99="",K99=""),"STOP: 未入力",IF(P99&lt;=0,"STOP: 利益なし","要確認")))</x:f>
      </x:c>
      <x:c r="S99" s="39"/>
      <x:c r="T99" s="33"/>
    </x:row>
    <x:row r="100">
      <x:c r="A100" s="33"/>
      <x:c r="B100" s="33"/>
      <x:c r="C100" s="35"/>
      <x:c r="D100" s="35"/>
      <x:c r="E100" s="35"/>
      <x:c r="F100" s="36" t="str">
        <x:f>IF(OR(D100="",E100=""),"",D100*E100)</x:f>
      </x:c>
      <x:c r="G100" s="35"/>
      <x:c r="H100" s="35"/>
      <x:c r="I100" s="35"/>
      <x:c r="J100" s="35"/>
      <x:c r="K100" s="37" t="str">
        <x:f>IF(OR(C100="",'設定'!$B$4=""),"",'設定'!$B$4)</x:f>
      </x:c>
      <x:c r="L100" s="36" t="str">
        <x:f>IF(OR(C100="",K100=""),"",C100*K100)</x:f>
      </x:c>
      <x:c r="M100" s="35"/>
      <x:c r="N100" s="35"/>
      <x:c r="O100" s="36" t="str">
        <x:f>IF(OR(C100="",F100="",L100=""),"",SUM(F100:J100,L100:N100))</x:f>
      </x:c>
      <x:c r="P100" s="36" t="str">
        <x:f>IF(O100="","",C100-O100)</x:f>
      </x:c>
      <x:c r="Q100" s="38" t="str">
        <x:f>IF(OR(C100="",C100=0,P100=""),"",P100/C100)</x:f>
      </x:c>
      <x:c r="R100" s="34" t="str">
        <x:f>IF(A100="","",IF(OR(F100="",K100=""),"STOP: 未入力",IF(P100&lt;=0,"STOP: 利益なし","要確認")))</x:f>
      </x:c>
      <x:c r="S100" s="39"/>
      <x:c r="T100" s="33"/>
    </x:row>
    <x:row r="101">
      <x:c r="A101" s="33"/>
      <x:c r="B101" s="33"/>
      <x:c r="C101" s="35"/>
      <x:c r="D101" s="35"/>
      <x:c r="E101" s="35"/>
      <x:c r="F101" s="36" t="str">
        <x:f>IF(OR(D101="",E101=""),"",D101*E101)</x:f>
      </x:c>
      <x:c r="G101" s="35"/>
      <x:c r="H101" s="35"/>
      <x:c r="I101" s="35"/>
      <x:c r="J101" s="35"/>
      <x:c r="K101" s="37" t="str">
        <x:f>IF(OR(C101="",'設定'!$B$4=""),"",'設定'!$B$4)</x:f>
      </x:c>
      <x:c r="L101" s="36" t="str">
        <x:f>IF(OR(C101="",K101=""),"",C101*K101)</x:f>
      </x:c>
      <x:c r="M101" s="35"/>
      <x:c r="N101" s="35"/>
      <x:c r="O101" s="36" t="str">
        <x:f>IF(OR(C101="",F101="",L101=""),"",SUM(F101:J101,L101:N101))</x:f>
      </x:c>
      <x:c r="P101" s="36" t="str">
        <x:f>IF(O101="","",C101-O101)</x:f>
      </x:c>
      <x:c r="Q101" s="38" t="str">
        <x:f>IF(OR(C101="",C101=0,P101=""),"",P101/C101)</x:f>
      </x:c>
      <x:c r="R101" s="34" t="str">
        <x:f>IF(A101="","",IF(OR(F101="",K101=""),"STOP: 未入力",IF(P101&lt;=0,"STOP: 利益なし","要確認")))</x:f>
      </x:c>
      <x:c r="S101" s="39"/>
      <x:c r="T101" s="33"/>
    </x:row>
    <x:row r="102">
      <x:c r="A102" s="33"/>
      <x:c r="B102" s="33"/>
      <x:c r="C102" s="35"/>
      <x:c r="D102" s="35"/>
      <x:c r="E102" s="35"/>
      <x:c r="F102" s="36" t="str">
        <x:f>IF(OR(D102="",E102=""),"",D102*E102)</x:f>
      </x:c>
      <x:c r="G102" s="35"/>
      <x:c r="H102" s="35"/>
      <x:c r="I102" s="35"/>
      <x:c r="J102" s="35"/>
      <x:c r="K102" s="37" t="str">
        <x:f>IF(OR(C102="",'設定'!$B$4=""),"",'設定'!$B$4)</x:f>
      </x:c>
      <x:c r="L102" s="36" t="str">
        <x:f>IF(OR(C102="",K102=""),"",C102*K102)</x:f>
      </x:c>
      <x:c r="M102" s="35"/>
      <x:c r="N102" s="35"/>
      <x:c r="O102" s="36" t="str">
        <x:f>IF(OR(C102="",F102="",L102=""),"",SUM(F102:J102,L102:N102))</x:f>
      </x:c>
      <x:c r="P102" s="36" t="str">
        <x:f>IF(O102="","",C102-O102)</x:f>
      </x:c>
      <x:c r="Q102" s="38" t="str">
        <x:f>IF(OR(C102="",C102=0,P102=""),"",P102/C102)</x:f>
      </x:c>
      <x:c r="R102" s="34" t="str">
        <x:f>IF(A102="","",IF(OR(F102="",K102=""),"STOP: 未入力",IF(P102&lt;=0,"STOP: 利益なし","要確認")))</x:f>
      </x:c>
      <x:c r="S102" s="39"/>
      <x:c r="T102" s="33"/>
    </x:row>
    <x:row r="103">
      <x:c r="A103" s="33"/>
      <x:c r="B103" s="33"/>
      <x:c r="C103" s="35"/>
      <x:c r="D103" s="35"/>
      <x:c r="E103" s="35"/>
      <x:c r="F103" s="36" t="str">
        <x:f>IF(OR(D103="",E103=""),"",D103*E103)</x:f>
      </x:c>
      <x:c r="G103" s="35"/>
      <x:c r="H103" s="35"/>
      <x:c r="I103" s="35"/>
      <x:c r="J103" s="35"/>
      <x:c r="K103" s="37" t="str">
        <x:f>IF(OR(C103="",'設定'!$B$4=""),"",'設定'!$B$4)</x:f>
      </x:c>
      <x:c r="L103" s="36" t="str">
        <x:f>IF(OR(C103="",K103=""),"",C103*K103)</x:f>
      </x:c>
      <x:c r="M103" s="35"/>
      <x:c r="N103" s="35"/>
      <x:c r="O103" s="36" t="str">
        <x:f>IF(OR(C103="",F103="",L103=""),"",SUM(F103:J103,L103:N103))</x:f>
      </x:c>
      <x:c r="P103" s="36" t="str">
        <x:f>IF(O103="","",C103-O103)</x:f>
      </x:c>
      <x:c r="Q103" s="38" t="str">
        <x:f>IF(OR(C103="",C103=0,P103=""),"",P103/C103)</x:f>
      </x:c>
      <x:c r="R103" s="34" t="str">
        <x:f>IF(A103="","",IF(OR(F103="",K103=""),"STOP: 未入力",IF(P103&lt;=0,"STOP: 利益なし","要確認")))</x:f>
      </x:c>
      <x:c r="S103" s="39"/>
      <x:c r="T103" s="33"/>
    </x:row>
    <x:row r="104">
      <x:c r="A104" s="33"/>
      <x:c r="B104" s="33"/>
      <x:c r="C104" s="35"/>
      <x:c r="D104" s="35"/>
      <x:c r="E104" s="35"/>
      <x:c r="F104" s="36" t="str">
        <x:f>IF(OR(D104="",E104=""),"",D104*E104)</x:f>
      </x:c>
      <x:c r="G104" s="35"/>
      <x:c r="H104" s="35"/>
      <x:c r="I104" s="35"/>
      <x:c r="J104" s="35"/>
      <x:c r="K104" s="37" t="str">
        <x:f>IF(OR(C104="",'設定'!$B$4=""),"",'設定'!$B$4)</x:f>
      </x:c>
      <x:c r="L104" s="36" t="str">
        <x:f>IF(OR(C104="",K104=""),"",C104*K104)</x:f>
      </x:c>
      <x:c r="M104" s="35"/>
      <x:c r="N104" s="35"/>
      <x:c r="O104" s="36" t="str">
        <x:f>IF(OR(C104="",F104="",L104=""),"",SUM(F104:J104,L104:N104))</x:f>
      </x:c>
      <x:c r="P104" s="36" t="str">
        <x:f>IF(O104="","",C104-O104)</x:f>
      </x:c>
      <x:c r="Q104" s="38" t="str">
        <x:f>IF(OR(C104="",C104=0,P104=""),"",P104/C104)</x:f>
      </x:c>
      <x:c r="R104" s="34" t="str">
        <x:f>IF(A104="","",IF(OR(F104="",K104=""),"STOP: 未入力",IF(P104&lt;=0,"STOP: 利益なし","要確認")))</x:f>
      </x:c>
      <x:c r="S104" s="39"/>
      <x:c r="T104" s="33"/>
    </x:row>
  </x:sheetData>
  <x:mergeCells>
    <x:mergeCell ref="A1:T1"/>
    <x:mergeCell ref="A2:T2"/>
  </x:mergeCells>
  <x:conditionalFormatting sqref="R5:R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72" hidden="0" customWidth="1"/>
  </x:cols>
  <x:sheetData>
    <x:row r="1">
      <x:c r="A1" s="2" t="str">
        <x:v>利益計算の設定</x:v>
      </x:c>
      <x:c r="B1" s="2"/>
      <x:c r="C1" s="2"/>
      <x:c r="D1" s="2"/>
    </x:row>
    <x:row r="3">
      <x:c r="A3" s="5" t="str">
        <x:v>項目</x:v>
      </x:c>
      <x:c r="B3" s="8" t="str">
        <x:v>入力値</x:v>
      </x:c>
      <x:c r="C3" s="12" t="str">
        <x:v>説明</x:v>
      </x:c>
    </x:row>
    <x:row r="4">
      <x:c r="A4" s="5" t="str">
        <x:v>BUYMA成約手数料率</x:v>
      </x:c>
      <x:c r="B4" s="8"/>
      <x:c r="C4" s="12" t="str">
        <x:v>自分のアカウントと注文条件に適用される現行率をBUYMA公式画面で確認し、割合で入力します。例: 7.5%なら7.5%。</x:v>
      </x:c>
    </x:row>
    <x:row r="5">
      <x:c r="A5" s="5" t="str">
        <x:v>確認日</x:v>
      </x:c>
      <x:c r="B5" s="8"/>
      <x:c r="C5" s="12" t="str">
        <x:v>手数料率を確認した日</x:v>
      </x:c>
    </x:row>
    <x:row r="6">
      <x:c r="A6" s="5" t="str">
        <x:v>根拠URL・画面メモ</x:v>
      </x:c>
      <x:c r="B6" s="8" t="str">
        <x:v>https://qa.buyma.com/shopper/</x:v>
      </x:c>
      <x:c r="C6" s="12" t="str">
        <x:v>ログイン後の現行表示も確認してください。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14" t="str">
        <x:v>BUYMA 利益計算表 購入者版</x:v>
      </x:c>
      <x:c r="B1" s="14"/>
      <x:c r="C1" s="14"/>
      <x:c r="D1" s="14"/>
      <x:c r="E1" s="14"/>
      <x:c r="F1" s="14"/>
    </x:row>
    <x:row r="3" ht="32" customHeight="1">
      <x:c r="A3" s="15" t="str">
        <x:v>目的</x:v>
      </x:c>
      <x:c r="B3" s="19" t="str">
        <x:v>商品ごとの総コスト、利益、利益率を、現行の手数料率と実額から計算します。</x:v>
      </x:c>
    </x:row>
    <x:row r="4" ht="32" customHeight="1">
      <x:c r="A4" s="15" t="str">
        <x:v>使い方 1</x:v>
      </x:c>
      <x:c r="B4" s="19" t="str">
        <x:v>黄色のセルに、確認できた事実だけを入力します。</x:v>
      </x:c>
    </x:row>
    <x:row r="5" ht="32" customHeight="1">
      <x:c r="A5" s="15" t="str">
        <x:v>使い方 2</x:v>
      </x:c>
      <x:c r="B5" s="19" t="str">
        <x:v>水色のセルは計算欄です。式を上書きしないでください。</x:v>
      </x:c>
    </x:row>
    <x:row r="6" ht="32" customHeight="1">
      <x:c r="A6" s="15" t="str">
        <x:v>使い方 3</x:v>
      </x:c>
      <x:c r="B6" s="19" t="str">
        <x:v>未確認、権利不明、販売元不明、検品経路なしの場合は実行せず止めます。</x:v>
      </x:c>
    </x:row>
    <x:row r="7" ht="32" customHeight="1">
      <x:c r="A7" s="15" t="str">
        <x:v>記録しない</x:v>
      </x:c>
      <x:c r="B7" s="19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15" t="str">
        <x:v>確認日</x:v>
      </x:c>
      <x:c r="B8" s="19" t="str">
        <x:v>2026-07-13</x:v>
      </x:c>
    </x:row>
    <x:row r="9" ht="32" customHeight="1">
      <x:c r="A9" s="15" t="str">
        <x:v>注意 1</x:v>
      </x:c>
      <x:c r="B9" s="19" t="str">
        <x:v>空欄を0円と決めつけず、発生可能性がある費用は確認してから判断してください。</x:v>
      </x:c>
    </x:row>
    <x:row r="10" ht="32" customHeight="1">
      <x:c r="A10" s="15" t="str">
        <x:v>公式確認先 1</x:v>
      </x:c>
      <x:c r="B10" s="19" t="str">
        <x:v>https://qa.buyma.com/shopper/sell/1501.html</x:v>
      </x:c>
    </x:row>
    <x:row r="11" ht="32" customHeight="1">
      <x:c r="A11" s="15" t="str">
        <x:v>公式確認先 2</x:v>
      </x:c>
      <x:c r="B11" s="19" t="str">
        <x:v>https://qa.buyma.com/buy/pay/3104.html</x:v>
      </x:c>
    </x:row>
    <x:row r="12" ht="32" customHeight="1">
      <x:c r="A12" s="15" t="str">
        <x:v>公式確認先 3</x:v>
      </x:c>
      <x:c r="B12" s="19" t="str">
        <x:v>https://www.customs.go.jp/</x:v>
      </x:c>
    </x:row>
  </x:sheetData>
  <x:mergeCells>
    <x:mergeCell ref="A1:F1"/>
  </x:mergeCells>
  <x:pageMargins left="0.7" right="0.7" top="0.75" bottom="0.75" header="0.3" footer="0.3"/>
</x:worksheet>
</file>