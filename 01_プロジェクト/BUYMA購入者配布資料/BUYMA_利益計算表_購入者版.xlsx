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dc28cf31b48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益計算" sheetId="1" r:id="R724a387ad90f4bd2"/>
    <x:sheet xmlns:r="http://schemas.openxmlformats.org/officeDocument/2006/relationships" name="設定" sheetId="2" r:id="R485b834e28084407"/>
    <x:sheet xmlns:r="http://schemas.openxmlformats.org/officeDocument/2006/relationships" name="使い方" sheetId="3" r:id="R74d82c2d038e47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0.0%"/>
    <x:numFmt numFmtId="203" formatCode="yyyy-mm-dd"/>
  </x:numFmts>
  <x:fonts count="13">
    <x:font>
      <x:sz val="11"/>
      <x:name val="Carlito"/>
    </x:font>
    <x:font>
      <x:b/>
      <x:sz val="16"/>
      <x:color rgb="FFFFFFFF"/>
      <x:name val="Yu Mincho"/>
    </x:font>
    <x:font>
      <x:b/>
      <x:sz val="11"/>
      <x:color rgb="FF17202A"/>
      <x:name val="Yu Gothic"/>
    </x:font>
    <x:font>
      <x:sz val="11"/>
      <x:color rgb="FF17202A"/>
      <x:name val="Yu Gothic"/>
    </x:font>
    <x:font>
      <x:sz val="11"/>
      <x:color rgb="FF5F6B76"/>
      <x:name val="Yu Gothic"/>
    </x:font>
    <x:font>
      <x:b/>
      <x:sz val="18"/>
      <x:color rgb="FFFFFFFF"/>
      <x:name val="Yu Mincho"/>
    </x:font>
    <x:font>
      <x:sz val="10"/>
      <x:color rgb="FF17202A"/>
      <x:name val="Yu Gothic"/>
    </x:font>
    <x:font>
      <x:sz val="9"/>
      <x:color rgb="FF17202A"/>
      <x:name val="Yu Gothic"/>
    </x:font>
    <x:font>
      <x:b/>
      <x:sz val="9"/>
      <x:color rgb="FFFFFFFF"/>
      <x:name val="Yu Gothic"/>
    </x:font>
    <x:font>
      <x:b/>
      <x:sz val="16"/>
      <x:color rgb="FFFFFFFF"/>
      <x:name val="Carlito"/>
    </x:font>
    <x:font>
      <x:sz val="10"/>
      <x:color rgb="FF1F2933"/>
      <x:name val="Carlito"/>
    </x:font>
    <x:font>
      <x:b/>
      <x:sz val="9"/>
      <x:color rgb="FFFFFFFF"/>
      <x:name val="Carlito"/>
    </x:font>
    <x:font>
      <x:sz val="9"/>
      <x:color rgb="FF1F2933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8233F"/>
      </x:patternFill>
    </x:fill>
    <x:fill>
      <x:patternFill patternType="solid">
        <x:fgColor rgb="FFF5EACB"/>
      </x:patternFill>
    </x:fill>
    <x:fill>
      <x:patternFill patternType="solid">
        <x:fgColor rgb="FFFFFDF4"/>
      </x:patternFill>
    </x:fill>
    <x:fill>
      <x:patternFill patternType="solid">
        <x:fgColor rgb="FFFAFAF8"/>
      </x:patternFill>
    </x:fill>
    <x:fill>
      <x:patternFill patternType="solid">
        <x:fgColor rgb="FF123B5D"/>
      </x:patternFill>
    </x:fill>
    <x:fill>
      <x:patternFill patternType="solid">
        <x:fgColor rgb="FFEAF3F8"/>
      </x:patternFill>
    </x:fill>
    <x:fill>
      <x:patternFill patternType="solid">
        <x:fgColor rgb="FF082D4D"/>
      </x:patternFill>
    </x:fill>
    <x:fill>
      <x:patternFill patternType="solid">
        <x:fgColor rgb="FFFFF5D8"/>
      </x:patternFill>
    </x:fill>
    <x:fill>
      <x:patternFill patternType="solid">
        <x:fgColor rgb="FF0E4268"/>
      </x:patternFill>
    </x:fill>
    <x:fill>
      <x:patternFill patternType="solid">
        <x:fgColor rgb="FFFFFCF2"/>
      </x:patternFill>
    </x:fill>
    <x:fill>
      <x:patternFill patternType="solid">
        <x:fgColor rgb="FFEAF5FB"/>
      </x:patternFill>
    </x:fill>
  </x:fills>
  <x:borders count="5">
    <x:border/>
    <x:border>
      <x:left style="thin">
        <x:color rgb="FFD7DCE1"/>
      </x:left>
      <x:right style="thin">
        <x:color rgb="FFD7DCE1"/>
      </x:right>
      <x:top style="thin">
        <x:color rgb="FFD7DCE1"/>
      </x:top>
      <x:bottom style="thin">
        <x:color rgb="FFD7DCE1"/>
      </x:bottom>
    </x:border>
    <x:border>
      <x:left style="thin">
        <x:color rgb="FFC89B3C"/>
      </x:left>
      <x:right style="thin">
        <x:color rgb="FFC89B3C"/>
      </x:right>
      <x:top style="thin">
        <x:color rgb="FFC89B3C"/>
      </x:top>
      <x:bottom style="thin">
        <x:color rgb="FFC89B3C"/>
      </x:bottom>
    </x:border>
    <x:border>
      <x:left style="thin">
        <x:color rgb="FFD3AA43"/>
      </x:left>
      <x:right style="thin">
        <x:color rgb="FFD3AA43"/>
      </x:right>
      <x:top style="thin">
        <x:color rgb="FFD3AA43"/>
      </x:top>
      <x:bottom style="thin">
        <x:color rgb="FFD3AA43"/>
      </x:bottom>
    </x:border>
    <x:border>
      <x:left style="thin">
        <x:color rgb="FFD8E0E6"/>
      </x:left>
      <x:right style="thin">
        <x:color rgb="FFD8E0E6"/>
      </x:right>
      <x:top style="thin">
        <x:color rgb="FFD8E0E6"/>
      </x:top>
      <x:bottom style="thin">
        <x:color rgb="FFD8E0E6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top"/>
    </x:xf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/>
    </x:xf>
    <x:xf numFmtId="0" fontId="8" fillId="6" borderId="2" xfId="0" applyNumberFormat="1" applyFont="1" applyFill="1" applyBorder="1" applyAlignment="1">
      <x:alignment vertical="center"/>
    </x:xf>
    <x:xf numFmtId="0" fontId="8" fillId="6" borderId="2" xfId="0" applyNumberFormat="1" applyFont="1" applyFill="1" applyBorder="1" applyAlignment="1">
      <x:alignment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/>
    </x:xf>
    <x:xf numFmtId="200" fontId="7" fillId="4" borderId="1" xfId="0" applyNumberFormat="1" applyFont="1" applyFill="1" applyBorder="1" applyAlignment="1">
      <x:alignment vertical="center"/>
    </x:xf>
    <x:xf numFmtId="200" fontId="7" fillId="7" borderId="1" xfId="0" applyNumberFormat="1" applyFont="1" applyFill="1" applyBorder="1" applyAlignment="1">
      <x:alignment vertical="center"/>
    </x:xf>
    <x:xf numFmtId="201" fontId="7" fillId="7" borderId="1" xfId="0" applyNumberFormat="1" applyFont="1" applyFill="1" applyBorder="1" applyAlignment="1">
      <x:alignment vertical="center"/>
    </x:xf>
    <x:xf numFmtId="202" fontId="7" fillId="7" borderId="1" xfId="0" applyNumberFormat="1" applyFont="1" applyFill="1" applyBorder="1" applyAlignment="1">
      <x:alignment vertical="center"/>
    </x:xf>
    <x:xf numFmtId="203" fontId="7" fillId="4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3" xfId="0" applyNumberFormat="1" applyFont="1" applyFill="1" applyBorder="1"/>
    <x:xf numFmtId="0" fontId="11" fillId="10" borderId="3" xfId="0" applyNumberFormat="1" applyFont="1" applyFill="1" applyBorder="1" applyAlignment="1">
      <x:alignment wrapText="1"/>
    </x:xf>
    <x:xf numFmtId="0" fontId="11" fillId="10" borderId="3" xfId="0" applyNumberFormat="1" applyFont="1" applyFill="1" applyBorder="1" applyAlignment="1">
      <x:alignment horizontal="center" wrapText="1"/>
    </x:xf>
    <x:xf numFmtId="0" fontId="11" fillId="10" borderId="3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4" xfId="0" applyNumberFormat="1" applyFont="1" applyFill="1" applyBorder="1"/>
    <x:xf numFmtId="0" fontId="12" fillId="11" borderId="4" xfId="0" applyNumberFormat="1" applyFont="1" applyFill="1" applyBorder="1" applyAlignment="1">
      <x:alignment wrapText="0"/>
    </x:xf>
    <x:xf numFmtId="0" fontId="12" fillId="11" borderId="4" xfId="0" applyNumberFormat="1" applyFont="1" applyFill="1" applyBorder="1" applyAlignment="1">
      <x:alignment vertical="center" wrapText="0"/>
    </x:xf>
    <x:xf numFmtId="0" fontId="12" fillId="12" borderId="4" xfId="0" applyNumberFormat="1" applyFont="1" applyFill="1" applyBorder="1" applyAlignment="1">
      <x:alignment vertical="center" wrapText="0"/>
    </x:xf>
    <x:xf numFmtId="200" fontId="12" fillId="11" borderId="4" xfId="0" applyNumberFormat="1" applyFont="1" applyFill="1" applyBorder="1" applyAlignment="1">
      <x:alignment vertical="center" wrapText="0"/>
    </x:xf>
    <x:xf numFmtId="200" fontId="12" fillId="12" borderId="4" xfId="0" applyNumberFormat="1" applyFont="1" applyFill="1" applyBorder="1" applyAlignment="1">
      <x:alignment vertical="center" wrapText="0"/>
    </x:xf>
    <x:xf numFmtId="202" fontId="12" fillId="12" borderId="4" xfId="0" applyNumberFormat="1" applyFont="1" applyFill="1" applyBorder="1" applyAlignment="1">
      <x:alignment vertical="center" wrapText="0"/>
    </x:xf>
    <x:xf numFmtId="203" fontId="12" fillId="11" borderId="4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4"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7A4D00"/>
      </x:font>
      <x:fill>
        <x:patternFill>
          <x:bgColor rgb="FFFFF2CC"/>
        </x:patternFill>
      </x:fill>
    </x:dxf>
    <x:dxf>
      <x:font>
        <x:b/>
        <x:color rgb="FF216E39"/>
      </x:font>
      <x:fill>
        <x:patternFill>
          <x:bgColor rgb="FFE7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fab50a54d47f1" /><Relationship Type="http://schemas.openxmlformats.org/officeDocument/2006/relationships/theme" Target="/xl/theme/theme1.xml" Id="Rdd6ddacf4f424bf7" /><Relationship Type="http://schemas.openxmlformats.org/officeDocument/2006/relationships/sharedStrings" Target="/xl/sharedStrings.xml" Id="Rf9101d33ed7b4fa3" /><Relationship Type="http://schemas.openxmlformats.org/officeDocument/2006/relationships/worksheet" Target="/xl/worksheets/sheet1.xml" Id="R724a387ad90f4bd2" /><Relationship Type="http://schemas.openxmlformats.org/officeDocument/2006/relationships/worksheet" Target="/xl/worksheets/sheet2.xml" Id="R485b834e28084407" /><Relationship Type="http://schemas.openxmlformats.org/officeDocument/2006/relationships/worksheet" Target="/xl/worksheets/sheet3.xml" Id="R74d82c2d038e47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0" hidden="0" customWidth="1"/>
    <x:col min="10" max="10" width="14" hidden="0" customWidth="1"/>
    <x:col min="11" max="11" width="14" hidden="0" customWidth="1"/>
    <x:col min="12" max="12" width="20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1" hidden="0" customWidth="1"/>
    <x:col min="20" max="20" width="11" hidden="0" customWidth="1"/>
    <x:col min="21" max="21" width="15" hidden="0" customWidth="1"/>
    <x:col min="22" max="22" width="25" hidden="0" customWidth="1"/>
  </x:cols>
  <x:sheetData>
    <x:row r="1" ht="28" customHeight="1">
      <x:c r="A1" s="42" t="str">
        <x:v>BUYMA 利益計算表 購入者版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</x:row>
    <x:row r="2" ht="25" customHeight="1">
      <x:c r="A2" s="46" t="str">
        <x:v>商品価格と購入者向け配送料を分け、販売価格合計・手数料・総コスト・利益を商品単位で計算します。水色は自動計算です。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</x:row>
    <x:row r="4" ht="42" customHeight="1">
      <x:c r="A4" s="52" t="str">
        <x:v>管理番号</x:v>
      </x:c>
      <x:c r="B4" s="52" t="str">
        <x:v>商品名</x:v>
      </x:c>
      <x:c r="C4" s="52" t="str">
        <x:v>商品価格(JPY)</x:v>
      </x:c>
      <x:c r="D4" s="52" t="str">
        <x:v>購入者向け配送料(JPY)</x:v>
      </x:c>
      <x:c r="E4" s="52" t="str">
        <x:v>販売価格合計(JPY)</x:v>
      </x:c>
      <x:c r="F4" s="52" t="str">
        <x:v>商品代金(現地通貨)</x:v>
      </x:c>
      <x:c r="G4" s="52" t="str">
        <x:v>為替レート(JPY)</x:v>
      </x:c>
      <x:c r="H4" s="52" t="str">
        <x:v>商品代金円換算</x:v>
      </x:c>
      <x:c r="I4" s="52" t="str">
        <x:v>現地税・買付先送料(JPY)</x:v>
      </x:c>
      <x:c r="J4" s="52" t="str">
        <x:v>国際送料(JPY)</x:v>
      </x:c>
      <x:c r="K4" s="52" t="str">
        <x:v>関税等(JPY)</x:v>
      </x:c>
      <x:c r="L4" s="52" t="str">
        <x:v>決済・送金手数料(JPY)</x:v>
      </x:c>
      <x:c r="M4" s="52" t="str">
        <x:v>成約手数料率</x:v>
      </x:c>
      <x:c r="N4" s="52" t="str">
        <x:v>成約手数料(JPY)</x:v>
      </x:c>
      <x:c r="O4" s="52" t="str">
        <x:v>外注・梱包費(JPY)</x:v>
      </x:c>
      <x:c r="P4" s="52" t="str">
        <x:v>その他経費(JPY)</x:v>
      </x:c>
      <x:c r="Q4" s="52" t="str">
        <x:v>総コスト(JPY)</x:v>
      </x:c>
      <x:c r="R4" s="52" t="str">
        <x:v>利益(JPY)</x:v>
      </x:c>
      <x:c r="S4" s="52" t="str">
        <x:v>利益率</x:v>
      </x:c>
      <x:c r="T4" s="52" t="str">
        <x:v>判定</x:v>
      </x:c>
      <x:c r="U4" s="52" t="str">
        <x:v>確認日</x:v>
      </x:c>
      <x:c r="V4" s="52" t="str">
        <x:v>根拠URL・メモ</x:v>
      </x:c>
    </x:row>
    <x:row r="5" ht="20" customHeight="1">
      <x:c r="A5" s="57"/>
      <x:c r="B5" s="57"/>
      <x:c r="C5" s="59"/>
      <x:c r="D5" s="59"/>
      <x:c r="E5" s="60" t="str">
        <x:f>IF(OR(C5="",D5=""),"",C5+D5)</x:f>
      </x:c>
      <x:c r="F5" s="57"/>
      <x:c r="G5" s="59"/>
      <x:c r="H5" s="60" t="str">
        <x:f>IF(OR(F5="",G5=""),"",F5*G5)</x:f>
      </x:c>
      <x:c r="I5" s="59"/>
      <x:c r="J5" s="59"/>
      <x:c r="K5" s="59"/>
      <x:c r="L5" s="59"/>
      <x:c r="M5" s="61" t="str">
        <x:f>IF(OR(A5="",'設定'!$B$4=""),"",'設定'!$B$4)</x:f>
      </x:c>
      <x:c r="N5" s="60" t="str">
        <x:f>IF(OR(E5="",M5=""),"",E5*M5)</x:f>
      </x:c>
      <x:c r="O5" s="59"/>
      <x:c r="P5" s="59"/>
      <x:c r="Q5" s="60" t="str">
        <x:f>IF(A5="","",SUM(H5:L5,N5:P5))</x:f>
      </x:c>
      <x:c r="R5" s="60" t="str">
        <x:f>IF(OR(E5="",Q5=""),"",E5-Q5)</x:f>
      </x:c>
      <x:c r="S5" s="61" t="str">
        <x:f>IF(OR(E5="",E5=0,R5=""),"",R5/E5)</x:f>
      </x:c>
      <x:c r="T5" s="58" t="str">
        <x:f>IF(A5="","",IF(OR(E5="",H5="",M5=""),"STOP: 未入力",IF(R5&lt;=0,"STOP: 利益なし","要確認")))</x:f>
      </x:c>
      <x:c r="U5" s="62"/>
      <x:c r="V5" s="57"/>
    </x:row>
    <x:row r="6" ht="20" customHeight="1">
      <x:c r="A6" s="57"/>
      <x:c r="B6" s="57"/>
      <x:c r="C6" s="59"/>
      <x:c r="D6" s="59"/>
      <x:c r="E6" s="60" t="str">
        <x:f>IF(OR(C6="",D6=""),"",C6+D6)</x:f>
      </x:c>
      <x:c r="F6" s="57"/>
      <x:c r="G6" s="59"/>
      <x:c r="H6" s="60" t="str">
        <x:f>IF(OR(F6="",G6=""),"",F6*G6)</x:f>
      </x:c>
      <x:c r="I6" s="59"/>
      <x:c r="J6" s="59"/>
      <x:c r="K6" s="59"/>
      <x:c r="L6" s="59"/>
      <x:c r="M6" s="61" t="str">
        <x:f>IF(OR(A6="",'設定'!$B$4=""),"",'設定'!$B$4)</x:f>
      </x:c>
      <x:c r="N6" s="60" t="str">
        <x:f>IF(OR(E6="",M6=""),"",E6*M6)</x:f>
      </x:c>
      <x:c r="O6" s="59"/>
      <x:c r="P6" s="59"/>
      <x:c r="Q6" s="60" t="str">
        <x:f>IF(A6="","",SUM(H6:L6,N6:P6))</x:f>
      </x:c>
      <x:c r="R6" s="60" t="str">
        <x:f>IF(OR(E6="",Q6=""),"",E6-Q6)</x:f>
      </x:c>
      <x:c r="S6" s="61" t="str">
        <x:f>IF(OR(E6="",E6=0,R6=""),"",R6/E6)</x:f>
      </x:c>
      <x:c r="T6" s="58" t="str">
        <x:f>IF(A6="","",IF(OR(E6="",H6="",M6=""),"STOP: 未入力",IF(R6&lt;=0,"STOP: 利益なし","要確認")))</x:f>
      </x:c>
      <x:c r="U6" s="62"/>
      <x:c r="V6" s="57"/>
    </x:row>
    <x:row r="7" ht="20" customHeight="1">
      <x:c r="A7" s="57"/>
      <x:c r="B7" s="57"/>
      <x:c r="C7" s="59"/>
      <x:c r="D7" s="59"/>
      <x:c r="E7" s="60" t="str">
        <x:f>IF(OR(C7="",D7=""),"",C7+D7)</x:f>
      </x:c>
      <x:c r="F7" s="57"/>
      <x:c r="G7" s="59"/>
      <x:c r="H7" s="60" t="str">
        <x:f>IF(OR(F7="",G7=""),"",F7*G7)</x:f>
      </x:c>
      <x:c r="I7" s="59"/>
      <x:c r="J7" s="59"/>
      <x:c r="K7" s="59"/>
      <x:c r="L7" s="59"/>
      <x:c r="M7" s="61" t="str">
        <x:f>IF(OR(A7="",'設定'!$B$4=""),"",'設定'!$B$4)</x:f>
      </x:c>
      <x:c r="N7" s="60" t="str">
        <x:f>IF(OR(E7="",M7=""),"",E7*M7)</x:f>
      </x:c>
      <x:c r="O7" s="59"/>
      <x:c r="P7" s="59"/>
      <x:c r="Q7" s="60" t="str">
        <x:f>IF(A7="","",SUM(H7:L7,N7:P7))</x:f>
      </x:c>
      <x:c r="R7" s="60" t="str">
        <x:f>IF(OR(E7="",Q7=""),"",E7-Q7)</x:f>
      </x:c>
      <x:c r="S7" s="61" t="str">
        <x:f>IF(OR(E7="",E7=0,R7=""),"",R7/E7)</x:f>
      </x:c>
      <x:c r="T7" s="58" t="str">
        <x:f>IF(A7="","",IF(OR(E7="",H7="",M7=""),"STOP: 未入力",IF(R7&lt;=0,"STOP: 利益なし","要確認")))</x:f>
      </x:c>
      <x:c r="U7" s="62"/>
      <x:c r="V7" s="57"/>
    </x:row>
    <x:row r="8" ht="20" customHeight="1">
      <x:c r="A8" s="57"/>
      <x:c r="B8" s="57"/>
      <x:c r="C8" s="59"/>
      <x:c r="D8" s="59"/>
      <x:c r="E8" s="60" t="str">
        <x:f>IF(OR(C8="",D8=""),"",C8+D8)</x:f>
      </x:c>
      <x:c r="F8" s="57"/>
      <x:c r="G8" s="59"/>
      <x:c r="H8" s="60" t="str">
        <x:f>IF(OR(F8="",G8=""),"",F8*G8)</x:f>
      </x:c>
      <x:c r="I8" s="59"/>
      <x:c r="J8" s="59"/>
      <x:c r="K8" s="59"/>
      <x:c r="L8" s="59"/>
      <x:c r="M8" s="61" t="str">
        <x:f>IF(OR(A8="",'設定'!$B$4=""),"",'設定'!$B$4)</x:f>
      </x:c>
      <x:c r="N8" s="60" t="str">
        <x:f>IF(OR(E8="",M8=""),"",E8*M8)</x:f>
      </x:c>
      <x:c r="O8" s="59"/>
      <x:c r="P8" s="59"/>
      <x:c r="Q8" s="60" t="str">
        <x:f>IF(A8="","",SUM(H8:L8,N8:P8))</x:f>
      </x:c>
      <x:c r="R8" s="60" t="str">
        <x:f>IF(OR(E8="",Q8=""),"",E8-Q8)</x:f>
      </x:c>
      <x:c r="S8" s="61" t="str">
        <x:f>IF(OR(E8="",E8=0,R8=""),"",R8/E8)</x:f>
      </x:c>
      <x:c r="T8" s="58" t="str">
        <x:f>IF(A8="","",IF(OR(E8="",H8="",M8=""),"STOP: 未入力",IF(R8&lt;=0,"STOP: 利益なし","要確認")))</x:f>
      </x:c>
      <x:c r="U8" s="62"/>
      <x:c r="V8" s="57"/>
    </x:row>
    <x:row r="9" ht="20" customHeight="1">
      <x:c r="A9" s="57"/>
      <x:c r="B9" s="57"/>
      <x:c r="C9" s="59"/>
      <x:c r="D9" s="59"/>
      <x:c r="E9" s="60" t="str">
        <x:f>IF(OR(C9="",D9=""),"",C9+D9)</x:f>
      </x:c>
      <x:c r="F9" s="57"/>
      <x:c r="G9" s="59"/>
      <x:c r="H9" s="60" t="str">
        <x:f>IF(OR(F9="",G9=""),"",F9*G9)</x:f>
      </x:c>
      <x:c r="I9" s="59"/>
      <x:c r="J9" s="59"/>
      <x:c r="K9" s="59"/>
      <x:c r="L9" s="59"/>
      <x:c r="M9" s="61" t="str">
        <x:f>IF(OR(A9="",'設定'!$B$4=""),"",'設定'!$B$4)</x:f>
      </x:c>
      <x:c r="N9" s="60" t="str">
        <x:f>IF(OR(E9="",M9=""),"",E9*M9)</x:f>
      </x:c>
      <x:c r="O9" s="59"/>
      <x:c r="P9" s="59"/>
      <x:c r="Q9" s="60" t="str">
        <x:f>IF(A9="","",SUM(H9:L9,N9:P9))</x:f>
      </x:c>
      <x:c r="R9" s="60" t="str">
        <x:f>IF(OR(E9="",Q9=""),"",E9-Q9)</x:f>
      </x:c>
      <x:c r="S9" s="61" t="str">
        <x:f>IF(OR(E9="",E9=0,R9=""),"",R9/E9)</x:f>
      </x:c>
      <x:c r="T9" s="58" t="str">
        <x:f>IF(A9="","",IF(OR(E9="",H9="",M9=""),"STOP: 未入力",IF(R9&lt;=0,"STOP: 利益なし","要確認")))</x:f>
      </x:c>
      <x:c r="U9" s="62"/>
      <x:c r="V9" s="57"/>
    </x:row>
    <x:row r="10" ht="20" customHeight="1">
      <x:c r="A10" s="57"/>
      <x:c r="B10" s="57"/>
      <x:c r="C10" s="59"/>
      <x:c r="D10" s="59"/>
      <x:c r="E10" s="60" t="str">
        <x:f>IF(OR(C10="",D10=""),"",C10+D10)</x:f>
      </x:c>
      <x:c r="F10" s="57"/>
      <x:c r="G10" s="59"/>
      <x:c r="H10" s="60" t="str">
        <x:f>IF(OR(F10="",G10=""),"",F10*G10)</x:f>
      </x:c>
      <x:c r="I10" s="59"/>
      <x:c r="J10" s="59"/>
      <x:c r="K10" s="59"/>
      <x:c r="L10" s="59"/>
      <x:c r="M10" s="61" t="str">
        <x:f>IF(OR(A10="",'設定'!$B$4=""),"",'設定'!$B$4)</x:f>
      </x:c>
      <x:c r="N10" s="60" t="str">
        <x:f>IF(OR(E10="",M10=""),"",E10*M10)</x:f>
      </x:c>
      <x:c r="O10" s="59"/>
      <x:c r="P10" s="59"/>
      <x:c r="Q10" s="60" t="str">
        <x:f>IF(A10="","",SUM(H10:L10,N10:P10))</x:f>
      </x:c>
      <x:c r="R10" s="60" t="str">
        <x:f>IF(OR(E10="",Q10=""),"",E10-Q10)</x:f>
      </x:c>
      <x:c r="S10" s="61" t="str">
        <x:f>IF(OR(E10="",E10=0,R10=""),"",R10/E10)</x:f>
      </x:c>
      <x:c r="T10" s="58" t="str">
        <x:f>IF(A10="","",IF(OR(E10="",H10="",M10=""),"STOP: 未入力",IF(R10&lt;=0,"STOP: 利益なし","要確認")))</x:f>
      </x:c>
      <x:c r="U10" s="62"/>
      <x:c r="V10" s="57"/>
    </x:row>
    <x:row r="11" ht="20" customHeight="1">
      <x:c r="A11" s="57"/>
      <x:c r="B11" s="57"/>
      <x:c r="C11" s="59"/>
      <x:c r="D11" s="59"/>
      <x:c r="E11" s="60" t="str">
        <x:f>IF(OR(C11="",D11=""),"",C11+D11)</x:f>
      </x:c>
      <x:c r="F11" s="57"/>
      <x:c r="G11" s="59"/>
      <x:c r="H11" s="60" t="str">
        <x:f>IF(OR(F11="",G11=""),"",F11*G11)</x:f>
      </x:c>
      <x:c r="I11" s="59"/>
      <x:c r="J11" s="59"/>
      <x:c r="K11" s="59"/>
      <x:c r="L11" s="59"/>
      <x:c r="M11" s="61" t="str">
        <x:f>IF(OR(A11="",'設定'!$B$4=""),"",'設定'!$B$4)</x:f>
      </x:c>
      <x:c r="N11" s="60" t="str">
        <x:f>IF(OR(E11="",M11=""),"",E11*M11)</x:f>
      </x:c>
      <x:c r="O11" s="59"/>
      <x:c r="P11" s="59"/>
      <x:c r="Q11" s="60" t="str">
        <x:f>IF(A11="","",SUM(H11:L11,N11:P11))</x:f>
      </x:c>
      <x:c r="R11" s="60" t="str">
        <x:f>IF(OR(E11="",Q11=""),"",E11-Q11)</x:f>
      </x:c>
      <x:c r="S11" s="61" t="str">
        <x:f>IF(OR(E11="",E11=0,R11=""),"",R11/E11)</x:f>
      </x:c>
      <x:c r="T11" s="58" t="str">
        <x:f>IF(A11="","",IF(OR(E11="",H11="",M11=""),"STOP: 未入力",IF(R11&lt;=0,"STOP: 利益なし","要確認")))</x:f>
      </x:c>
      <x:c r="U11" s="62"/>
      <x:c r="V11" s="57"/>
    </x:row>
    <x:row r="12" ht="20" customHeight="1">
      <x:c r="A12" s="57"/>
      <x:c r="B12" s="57"/>
      <x:c r="C12" s="59"/>
      <x:c r="D12" s="59"/>
      <x:c r="E12" s="60" t="str">
        <x:f>IF(OR(C12="",D12=""),"",C12+D12)</x:f>
      </x:c>
      <x:c r="F12" s="57"/>
      <x:c r="G12" s="59"/>
      <x:c r="H12" s="60" t="str">
        <x:f>IF(OR(F12="",G12=""),"",F12*G12)</x:f>
      </x:c>
      <x:c r="I12" s="59"/>
      <x:c r="J12" s="59"/>
      <x:c r="K12" s="59"/>
      <x:c r="L12" s="59"/>
      <x:c r="M12" s="61" t="str">
        <x:f>IF(OR(A12="",'設定'!$B$4=""),"",'設定'!$B$4)</x:f>
      </x:c>
      <x:c r="N12" s="60" t="str">
        <x:f>IF(OR(E12="",M12=""),"",E12*M12)</x:f>
      </x:c>
      <x:c r="O12" s="59"/>
      <x:c r="P12" s="59"/>
      <x:c r="Q12" s="60" t="str">
        <x:f>IF(A12="","",SUM(H12:L12,N12:P12))</x:f>
      </x:c>
      <x:c r="R12" s="60" t="str">
        <x:f>IF(OR(E12="",Q12=""),"",E12-Q12)</x:f>
      </x:c>
      <x:c r="S12" s="61" t="str">
        <x:f>IF(OR(E12="",E12=0,R12=""),"",R12/E12)</x:f>
      </x:c>
      <x:c r="T12" s="58" t="str">
        <x:f>IF(A12="","",IF(OR(E12="",H12="",M12=""),"STOP: 未入力",IF(R12&lt;=0,"STOP: 利益なし","要確認")))</x:f>
      </x:c>
      <x:c r="U12" s="62"/>
      <x:c r="V12" s="57"/>
    </x:row>
    <x:row r="13" ht="20" customHeight="1">
      <x:c r="A13" s="57"/>
      <x:c r="B13" s="57"/>
      <x:c r="C13" s="59"/>
      <x:c r="D13" s="59"/>
      <x:c r="E13" s="60" t="str">
        <x:f>IF(OR(C13="",D13=""),"",C13+D13)</x:f>
      </x:c>
      <x:c r="F13" s="57"/>
      <x:c r="G13" s="59"/>
      <x:c r="H13" s="60" t="str">
        <x:f>IF(OR(F13="",G13=""),"",F13*G13)</x:f>
      </x:c>
      <x:c r="I13" s="59"/>
      <x:c r="J13" s="59"/>
      <x:c r="K13" s="59"/>
      <x:c r="L13" s="59"/>
      <x:c r="M13" s="61" t="str">
        <x:f>IF(OR(A13="",'設定'!$B$4=""),"",'設定'!$B$4)</x:f>
      </x:c>
      <x:c r="N13" s="60" t="str">
        <x:f>IF(OR(E13="",M13=""),"",E13*M13)</x:f>
      </x:c>
      <x:c r="O13" s="59"/>
      <x:c r="P13" s="59"/>
      <x:c r="Q13" s="60" t="str">
        <x:f>IF(A13="","",SUM(H13:L13,N13:P13))</x:f>
      </x:c>
      <x:c r="R13" s="60" t="str">
        <x:f>IF(OR(E13="",Q13=""),"",E13-Q13)</x:f>
      </x:c>
      <x:c r="S13" s="61" t="str">
        <x:f>IF(OR(E13="",E13=0,R13=""),"",R13/E13)</x:f>
      </x:c>
      <x:c r="T13" s="58" t="str">
        <x:f>IF(A13="","",IF(OR(E13="",H13="",M13=""),"STOP: 未入力",IF(R13&lt;=0,"STOP: 利益なし","要確認")))</x:f>
      </x:c>
      <x:c r="U13" s="62"/>
      <x:c r="V13" s="57"/>
    </x:row>
    <x:row r="14" ht="20" customHeight="1">
      <x:c r="A14" s="57"/>
      <x:c r="B14" s="57"/>
      <x:c r="C14" s="59"/>
      <x:c r="D14" s="59"/>
      <x:c r="E14" s="60" t="str">
        <x:f>IF(OR(C14="",D14=""),"",C14+D14)</x:f>
      </x:c>
      <x:c r="F14" s="57"/>
      <x:c r="G14" s="59"/>
      <x:c r="H14" s="60" t="str">
        <x:f>IF(OR(F14="",G14=""),"",F14*G14)</x:f>
      </x:c>
      <x:c r="I14" s="59"/>
      <x:c r="J14" s="59"/>
      <x:c r="K14" s="59"/>
      <x:c r="L14" s="59"/>
      <x:c r="M14" s="61" t="str">
        <x:f>IF(OR(A14="",'設定'!$B$4=""),"",'設定'!$B$4)</x:f>
      </x:c>
      <x:c r="N14" s="60" t="str">
        <x:f>IF(OR(E14="",M14=""),"",E14*M14)</x:f>
      </x:c>
      <x:c r="O14" s="59"/>
      <x:c r="P14" s="59"/>
      <x:c r="Q14" s="60" t="str">
        <x:f>IF(A14="","",SUM(H14:L14,N14:P14))</x:f>
      </x:c>
      <x:c r="R14" s="60" t="str">
        <x:f>IF(OR(E14="",Q14=""),"",E14-Q14)</x:f>
      </x:c>
      <x:c r="S14" s="61" t="str">
        <x:f>IF(OR(E14="",E14=0,R14=""),"",R14/E14)</x:f>
      </x:c>
      <x:c r="T14" s="58" t="str">
        <x:f>IF(A14="","",IF(OR(E14="",H14="",M14=""),"STOP: 未入力",IF(R14&lt;=0,"STOP: 利益なし","要確認")))</x:f>
      </x:c>
      <x:c r="U14" s="62"/>
      <x:c r="V14" s="57"/>
    </x:row>
    <x:row r="15" ht="20" customHeight="1">
      <x:c r="A15" s="57"/>
      <x:c r="B15" s="57"/>
      <x:c r="C15" s="59"/>
      <x:c r="D15" s="59"/>
      <x:c r="E15" s="60" t="str">
        <x:f>IF(OR(C15="",D15=""),"",C15+D15)</x:f>
      </x:c>
      <x:c r="F15" s="57"/>
      <x:c r="G15" s="59"/>
      <x:c r="H15" s="60" t="str">
        <x:f>IF(OR(F15="",G15=""),"",F15*G15)</x:f>
      </x:c>
      <x:c r="I15" s="59"/>
      <x:c r="J15" s="59"/>
      <x:c r="K15" s="59"/>
      <x:c r="L15" s="59"/>
      <x:c r="M15" s="61" t="str">
        <x:f>IF(OR(A15="",'設定'!$B$4=""),"",'設定'!$B$4)</x:f>
      </x:c>
      <x:c r="N15" s="60" t="str">
        <x:f>IF(OR(E15="",M15=""),"",E15*M15)</x:f>
      </x:c>
      <x:c r="O15" s="59"/>
      <x:c r="P15" s="59"/>
      <x:c r="Q15" s="60" t="str">
        <x:f>IF(A15="","",SUM(H15:L15,N15:P15))</x:f>
      </x:c>
      <x:c r="R15" s="60" t="str">
        <x:f>IF(OR(E15="",Q15=""),"",E15-Q15)</x:f>
      </x:c>
      <x:c r="S15" s="61" t="str">
        <x:f>IF(OR(E15="",E15=0,R15=""),"",R15/E15)</x:f>
      </x:c>
      <x:c r="T15" s="58" t="str">
        <x:f>IF(A15="","",IF(OR(E15="",H15="",M15=""),"STOP: 未入力",IF(R15&lt;=0,"STOP: 利益なし","要確認")))</x:f>
      </x:c>
      <x:c r="U15" s="62"/>
      <x:c r="V15" s="57"/>
    </x:row>
    <x:row r="16" ht="20" customHeight="1">
      <x:c r="A16" s="57"/>
      <x:c r="B16" s="57"/>
      <x:c r="C16" s="59"/>
      <x:c r="D16" s="59"/>
      <x:c r="E16" s="60" t="str">
        <x:f>IF(OR(C16="",D16=""),"",C16+D16)</x:f>
      </x:c>
      <x:c r="F16" s="57"/>
      <x:c r="G16" s="59"/>
      <x:c r="H16" s="60" t="str">
        <x:f>IF(OR(F16="",G16=""),"",F16*G16)</x:f>
      </x:c>
      <x:c r="I16" s="59"/>
      <x:c r="J16" s="59"/>
      <x:c r="K16" s="59"/>
      <x:c r="L16" s="59"/>
      <x:c r="M16" s="61" t="str">
        <x:f>IF(OR(A16="",'設定'!$B$4=""),"",'設定'!$B$4)</x:f>
      </x:c>
      <x:c r="N16" s="60" t="str">
        <x:f>IF(OR(E16="",M16=""),"",E16*M16)</x:f>
      </x:c>
      <x:c r="O16" s="59"/>
      <x:c r="P16" s="59"/>
      <x:c r="Q16" s="60" t="str">
        <x:f>IF(A16="","",SUM(H16:L16,N16:P16))</x:f>
      </x:c>
      <x:c r="R16" s="60" t="str">
        <x:f>IF(OR(E16="",Q16=""),"",E16-Q16)</x:f>
      </x:c>
      <x:c r="S16" s="61" t="str">
        <x:f>IF(OR(E16="",E16=0,R16=""),"",R16/E16)</x:f>
      </x:c>
      <x:c r="T16" s="58" t="str">
        <x:f>IF(A16="","",IF(OR(E16="",H16="",M16=""),"STOP: 未入力",IF(R16&lt;=0,"STOP: 利益なし","要確認")))</x:f>
      </x:c>
      <x:c r="U16" s="62"/>
      <x:c r="V16" s="57"/>
    </x:row>
    <x:row r="17" ht="20" customHeight="1">
      <x:c r="A17" s="57"/>
      <x:c r="B17" s="57"/>
      <x:c r="C17" s="59"/>
      <x:c r="D17" s="59"/>
      <x:c r="E17" s="60" t="str">
        <x:f>IF(OR(C17="",D17=""),"",C17+D17)</x:f>
      </x:c>
      <x:c r="F17" s="57"/>
      <x:c r="G17" s="59"/>
      <x:c r="H17" s="60" t="str">
        <x:f>IF(OR(F17="",G17=""),"",F17*G17)</x:f>
      </x:c>
      <x:c r="I17" s="59"/>
      <x:c r="J17" s="59"/>
      <x:c r="K17" s="59"/>
      <x:c r="L17" s="59"/>
      <x:c r="M17" s="61" t="str">
        <x:f>IF(OR(A17="",'設定'!$B$4=""),"",'設定'!$B$4)</x:f>
      </x:c>
      <x:c r="N17" s="60" t="str">
        <x:f>IF(OR(E17="",M17=""),"",E17*M17)</x:f>
      </x:c>
      <x:c r="O17" s="59"/>
      <x:c r="P17" s="59"/>
      <x:c r="Q17" s="60" t="str">
        <x:f>IF(A17="","",SUM(H17:L17,N17:P17))</x:f>
      </x:c>
      <x:c r="R17" s="60" t="str">
        <x:f>IF(OR(E17="",Q17=""),"",E17-Q17)</x:f>
      </x:c>
      <x:c r="S17" s="61" t="str">
        <x:f>IF(OR(E17="",E17=0,R17=""),"",R17/E17)</x:f>
      </x:c>
      <x:c r="T17" s="58" t="str">
        <x:f>IF(A17="","",IF(OR(E17="",H17="",M17=""),"STOP: 未入力",IF(R17&lt;=0,"STOP: 利益なし","要確認")))</x:f>
      </x:c>
      <x:c r="U17" s="62"/>
      <x:c r="V17" s="57"/>
    </x:row>
    <x:row r="18" ht="20" customHeight="1">
      <x:c r="A18" s="57"/>
      <x:c r="B18" s="57"/>
      <x:c r="C18" s="59"/>
      <x:c r="D18" s="59"/>
      <x:c r="E18" s="60" t="str">
        <x:f>IF(OR(C18="",D18=""),"",C18+D18)</x:f>
      </x:c>
      <x:c r="F18" s="57"/>
      <x:c r="G18" s="59"/>
      <x:c r="H18" s="60" t="str">
        <x:f>IF(OR(F18="",G18=""),"",F18*G18)</x:f>
      </x:c>
      <x:c r="I18" s="59"/>
      <x:c r="J18" s="59"/>
      <x:c r="K18" s="59"/>
      <x:c r="L18" s="59"/>
      <x:c r="M18" s="61" t="str">
        <x:f>IF(OR(A18="",'設定'!$B$4=""),"",'設定'!$B$4)</x:f>
      </x:c>
      <x:c r="N18" s="60" t="str">
        <x:f>IF(OR(E18="",M18=""),"",E18*M18)</x:f>
      </x:c>
      <x:c r="O18" s="59"/>
      <x:c r="P18" s="59"/>
      <x:c r="Q18" s="60" t="str">
        <x:f>IF(A18="","",SUM(H18:L18,N18:P18))</x:f>
      </x:c>
      <x:c r="R18" s="60" t="str">
        <x:f>IF(OR(E18="",Q18=""),"",E18-Q18)</x:f>
      </x:c>
      <x:c r="S18" s="61" t="str">
        <x:f>IF(OR(E18="",E18=0,R18=""),"",R18/E18)</x:f>
      </x:c>
      <x:c r="T18" s="58" t="str">
        <x:f>IF(A18="","",IF(OR(E18="",H18="",M18=""),"STOP: 未入力",IF(R18&lt;=0,"STOP: 利益なし","要確認")))</x:f>
      </x:c>
      <x:c r="U18" s="62"/>
      <x:c r="V18" s="57"/>
    </x:row>
    <x:row r="19" ht="20" customHeight="1">
      <x:c r="A19" s="57"/>
      <x:c r="B19" s="57"/>
      <x:c r="C19" s="59"/>
      <x:c r="D19" s="59"/>
      <x:c r="E19" s="60" t="str">
        <x:f>IF(OR(C19="",D19=""),"",C19+D19)</x:f>
      </x:c>
      <x:c r="F19" s="57"/>
      <x:c r="G19" s="59"/>
      <x:c r="H19" s="60" t="str">
        <x:f>IF(OR(F19="",G19=""),"",F19*G19)</x:f>
      </x:c>
      <x:c r="I19" s="59"/>
      <x:c r="J19" s="59"/>
      <x:c r="K19" s="59"/>
      <x:c r="L19" s="59"/>
      <x:c r="M19" s="61" t="str">
        <x:f>IF(OR(A19="",'設定'!$B$4=""),"",'設定'!$B$4)</x:f>
      </x:c>
      <x:c r="N19" s="60" t="str">
        <x:f>IF(OR(E19="",M19=""),"",E19*M19)</x:f>
      </x:c>
      <x:c r="O19" s="59"/>
      <x:c r="P19" s="59"/>
      <x:c r="Q19" s="60" t="str">
        <x:f>IF(A19="","",SUM(H19:L19,N19:P19))</x:f>
      </x:c>
      <x:c r="R19" s="60" t="str">
        <x:f>IF(OR(E19="",Q19=""),"",E19-Q19)</x:f>
      </x:c>
      <x:c r="S19" s="61" t="str">
        <x:f>IF(OR(E19="",E19=0,R19=""),"",R19/E19)</x:f>
      </x:c>
      <x:c r="T19" s="58" t="str">
        <x:f>IF(A19="","",IF(OR(E19="",H19="",M19=""),"STOP: 未入力",IF(R19&lt;=0,"STOP: 利益なし","要確認")))</x:f>
      </x:c>
      <x:c r="U19" s="62"/>
      <x:c r="V19" s="57"/>
    </x:row>
    <x:row r="20" ht="20" customHeight="1">
      <x:c r="A20" s="57"/>
      <x:c r="B20" s="57"/>
      <x:c r="C20" s="59"/>
      <x:c r="D20" s="59"/>
      <x:c r="E20" s="60" t="str">
        <x:f>IF(OR(C20="",D20=""),"",C20+D20)</x:f>
      </x:c>
      <x:c r="F20" s="57"/>
      <x:c r="G20" s="59"/>
      <x:c r="H20" s="60" t="str">
        <x:f>IF(OR(F20="",G20=""),"",F20*G20)</x:f>
      </x:c>
      <x:c r="I20" s="59"/>
      <x:c r="J20" s="59"/>
      <x:c r="K20" s="59"/>
      <x:c r="L20" s="59"/>
      <x:c r="M20" s="61" t="str">
        <x:f>IF(OR(A20="",'設定'!$B$4=""),"",'設定'!$B$4)</x:f>
      </x:c>
      <x:c r="N20" s="60" t="str">
        <x:f>IF(OR(E20="",M20=""),"",E20*M20)</x:f>
      </x:c>
      <x:c r="O20" s="59"/>
      <x:c r="P20" s="59"/>
      <x:c r="Q20" s="60" t="str">
        <x:f>IF(A20="","",SUM(H20:L20,N20:P20))</x:f>
      </x:c>
      <x:c r="R20" s="60" t="str">
        <x:f>IF(OR(E20="",Q20=""),"",E20-Q20)</x:f>
      </x:c>
      <x:c r="S20" s="61" t="str">
        <x:f>IF(OR(E20="",E20=0,R20=""),"",R20/E20)</x:f>
      </x:c>
      <x:c r="T20" s="58" t="str">
        <x:f>IF(A20="","",IF(OR(E20="",H20="",M20=""),"STOP: 未入力",IF(R20&lt;=0,"STOP: 利益なし","要確認")))</x:f>
      </x:c>
      <x:c r="U20" s="62"/>
      <x:c r="V20" s="57"/>
    </x:row>
    <x:row r="21" ht="20" customHeight="1">
      <x:c r="A21" s="57"/>
      <x:c r="B21" s="57"/>
      <x:c r="C21" s="59"/>
      <x:c r="D21" s="59"/>
      <x:c r="E21" s="60" t="str">
        <x:f>IF(OR(C21="",D21=""),"",C21+D21)</x:f>
      </x:c>
      <x:c r="F21" s="57"/>
      <x:c r="G21" s="59"/>
      <x:c r="H21" s="60" t="str">
        <x:f>IF(OR(F21="",G21=""),"",F21*G21)</x:f>
      </x:c>
      <x:c r="I21" s="59"/>
      <x:c r="J21" s="59"/>
      <x:c r="K21" s="59"/>
      <x:c r="L21" s="59"/>
      <x:c r="M21" s="61" t="str">
        <x:f>IF(OR(A21="",'設定'!$B$4=""),"",'設定'!$B$4)</x:f>
      </x:c>
      <x:c r="N21" s="60" t="str">
        <x:f>IF(OR(E21="",M21=""),"",E21*M21)</x:f>
      </x:c>
      <x:c r="O21" s="59"/>
      <x:c r="P21" s="59"/>
      <x:c r="Q21" s="60" t="str">
        <x:f>IF(A21="","",SUM(H21:L21,N21:P21))</x:f>
      </x:c>
      <x:c r="R21" s="60" t="str">
        <x:f>IF(OR(E21="",Q21=""),"",E21-Q21)</x:f>
      </x:c>
      <x:c r="S21" s="61" t="str">
        <x:f>IF(OR(E21="",E21=0,R21=""),"",R21/E21)</x:f>
      </x:c>
      <x:c r="T21" s="58" t="str">
        <x:f>IF(A21="","",IF(OR(E21="",H21="",M21=""),"STOP: 未入力",IF(R21&lt;=0,"STOP: 利益なし","要確認")))</x:f>
      </x:c>
      <x:c r="U21" s="62"/>
      <x:c r="V21" s="57"/>
    </x:row>
    <x:row r="22" ht="20" customHeight="1">
      <x:c r="A22" s="57"/>
      <x:c r="B22" s="57"/>
      <x:c r="C22" s="59"/>
      <x:c r="D22" s="59"/>
      <x:c r="E22" s="60" t="str">
        <x:f>IF(OR(C22="",D22=""),"",C22+D22)</x:f>
      </x:c>
      <x:c r="F22" s="57"/>
      <x:c r="G22" s="59"/>
      <x:c r="H22" s="60" t="str">
        <x:f>IF(OR(F22="",G22=""),"",F22*G22)</x:f>
      </x:c>
      <x:c r="I22" s="59"/>
      <x:c r="J22" s="59"/>
      <x:c r="K22" s="59"/>
      <x:c r="L22" s="59"/>
      <x:c r="M22" s="61" t="str">
        <x:f>IF(OR(A22="",'設定'!$B$4=""),"",'設定'!$B$4)</x:f>
      </x:c>
      <x:c r="N22" s="60" t="str">
        <x:f>IF(OR(E22="",M22=""),"",E22*M22)</x:f>
      </x:c>
      <x:c r="O22" s="59"/>
      <x:c r="P22" s="59"/>
      <x:c r="Q22" s="60" t="str">
        <x:f>IF(A22="","",SUM(H22:L22,N22:P22))</x:f>
      </x:c>
      <x:c r="R22" s="60" t="str">
        <x:f>IF(OR(E22="",Q22=""),"",E22-Q22)</x:f>
      </x:c>
      <x:c r="S22" s="61" t="str">
        <x:f>IF(OR(E22="",E22=0,R22=""),"",R22/E22)</x:f>
      </x:c>
      <x:c r="T22" s="58" t="str">
        <x:f>IF(A22="","",IF(OR(E22="",H22="",M22=""),"STOP: 未入力",IF(R22&lt;=0,"STOP: 利益なし","要確認")))</x:f>
      </x:c>
      <x:c r="U22" s="62"/>
      <x:c r="V22" s="57"/>
    </x:row>
    <x:row r="23" ht="20" customHeight="1">
      <x:c r="A23" s="57"/>
      <x:c r="B23" s="57"/>
      <x:c r="C23" s="59"/>
      <x:c r="D23" s="59"/>
      <x:c r="E23" s="60" t="str">
        <x:f>IF(OR(C23="",D23=""),"",C23+D23)</x:f>
      </x:c>
      <x:c r="F23" s="57"/>
      <x:c r="G23" s="59"/>
      <x:c r="H23" s="60" t="str">
        <x:f>IF(OR(F23="",G23=""),"",F23*G23)</x:f>
      </x:c>
      <x:c r="I23" s="59"/>
      <x:c r="J23" s="59"/>
      <x:c r="K23" s="59"/>
      <x:c r="L23" s="59"/>
      <x:c r="M23" s="61" t="str">
        <x:f>IF(OR(A23="",'設定'!$B$4=""),"",'設定'!$B$4)</x:f>
      </x:c>
      <x:c r="N23" s="60" t="str">
        <x:f>IF(OR(E23="",M23=""),"",E23*M23)</x:f>
      </x:c>
      <x:c r="O23" s="59"/>
      <x:c r="P23" s="59"/>
      <x:c r="Q23" s="60" t="str">
        <x:f>IF(A23="","",SUM(H23:L23,N23:P23))</x:f>
      </x:c>
      <x:c r="R23" s="60" t="str">
        <x:f>IF(OR(E23="",Q23=""),"",E23-Q23)</x:f>
      </x:c>
      <x:c r="S23" s="61" t="str">
        <x:f>IF(OR(E23="",E23=0,R23=""),"",R23/E23)</x:f>
      </x:c>
      <x:c r="T23" s="58" t="str">
        <x:f>IF(A23="","",IF(OR(E23="",H23="",M23=""),"STOP: 未入力",IF(R23&lt;=0,"STOP: 利益なし","要確認")))</x:f>
      </x:c>
      <x:c r="U23" s="62"/>
      <x:c r="V23" s="57"/>
    </x:row>
    <x:row r="24" ht="20" customHeight="1">
      <x:c r="A24" s="57"/>
      <x:c r="B24" s="57"/>
      <x:c r="C24" s="59"/>
      <x:c r="D24" s="59"/>
      <x:c r="E24" s="60" t="str">
        <x:f>IF(OR(C24="",D24=""),"",C24+D24)</x:f>
      </x:c>
      <x:c r="F24" s="57"/>
      <x:c r="G24" s="59"/>
      <x:c r="H24" s="60" t="str">
        <x:f>IF(OR(F24="",G24=""),"",F24*G24)</x:f>
      </x:c>
      <x:c r="I24" s="59"/>
      <x:c r="J24" s="59"/>
      <x:c r="K24" s="59"/>
      <x:c r="L24" s="59"/>
      <x:c r="M24" s="61" t="str">
        <x:f>IF(OR(A24="",'設定'!$B$4=""),"",'設定'!$B$4)</x:f>
      </x:c>
      <x:c r="N24" s="60" t="str">
        <x:f>IF(OR(E24="",M24=""),"",E24*M24)</x:f>
      </x:c>
      <x:c r="O24" s="59"/>
      <x:c r="P24" s="59"/>
      <x:c r="Q24" s="60" t="str">
        <x:f>IF(A24="","",SUM(H24:L24,N24:P24))</x:f>
      </x:c>
      <x:c r="R24" s="60" t="str">
        <x:f>IF(OR(E24="",Q24=""),"",E24-Q24)</x:f>
      </x:c>
      <x:c r="S24" s="61" t="str">
        <x:f>IF(OR(E24="",E24=0,R24=""),"",R24/E24)</x:f>
      </x:c>
      <x:c r="T24" s="58" t="str">
        <x:f>IF(A24="","",IF(OR(E24="",H24="",M24=""),"STOP: 未入力",IF(R24&lt;=0,"STOP: 利益なし","要確認")))</x:f>
      </x:c>
      <x:c r="U24" s="62"/>
      <x:c r="V24" s="57"/>
    </x:row>
    <x:row r="25" ht="20" customHeight="1">
      <x:c r="A25" s="57"/>
      <x:c r="B25" s="57"/>
      <x:c r="C25" s="59"/>
      <x:c r="D25" s="59"/>
      <x:c r="E25" s="60" t="str">
        <x:f>IF(OR(C25="",D25=""),"",C25+D25)</x:f>
      </x:c>
      <x:c r="F25" s="57"/>
      <x:c r="G25" s="59"/>
      <x:c r="H25" s="60" t="str">
        <x:f>IF(OR(F25="",G25=""),"",F25*G25)</x:f>
      </x:c>
      <x:c r="I25" s="59"/>
      <x:c r="J25" s="59"/>
      <x:c r="K25" s="59"/>
      <x:c r="L25" s="59"/>
      <x:c r="M25" s="61" t="str">
        <x:f>IF(OR(A25="",'設定'!$B$4=""),"",'設定'!$B$4)</x:f>
      </x:c>
      <x:c r="N25" s="60" t="str">
        <x:f>IF(OR(E25="",M25=""),"",E25*M25)</x:f>
      </x:c>
      <x:c r="O25" s="59"/>
      <x:c r="P25" s="59"/>
      <x:c r="Q25" s="60" t="str">
        <x:f>IF(A25="","",SUM(H25:L25,N25:P25))</x:f>
      </x:c>
      <x:c r="R25" s="60" t="str">
        <x:f>IF(OR(E25="",Q25=""),"",E25-Q25)</x:f>
      </x:c>
      <x:c r="S25" s="61" t="str">
        <x:f>IF(OR(E25="",E25=0,R25=""),"",R25/E25)</x:f>
      </x:c>
      <x:c r="T25" s="58" t="str">
        <x:f>IF(A25="","",IF(OR(E25="",H25="",M25=""),"STOP: 未入力",IF(R25&lt;=0,"STOP: 利益なし","要確認")))</x:f>
      </x:c>
      <x:c r="U25" s="62"/>
      <x:c r="V25" s="57"/>
    </x:row>
    <x:row r="26" ht="20" customHeight="1">
      <x:c r="A26" s="57"/>
      <x:c r="B26" s="57"/>
      <x:c r="C26" s="59"/>
      <x:c r="D26" s="59"/>
      <x:c r="E26" s="60" t="str">
        <x:f>IF(OR(C26="",D26=""),"",C26+D26)</x:f>
      </x:c>
      <x:c r="F26" s="57"/>
      <x:c r="G26" s="59"/>
      <x:c r="H26" s="60" t="str">
        <x:f>IF(OR(F26="",G26=""),"",F26*G26)</x:f>
      </x:c>
      <x:c r="I26" s="59"/>
      <x:c r="J26" s="59"/>
      <x:c r="K26" s="59"/>
      <x:c r="L26" s="59"/>
      <x:c r="M26" s="61" t="str">
        <x:f>IF(OR(A26="",'設定'!$B$4=""),"",'設定'!$B$4)</x:f>
      </x:c>
      <x:c r="N26" s="60" t="str">
        <x:f>IF(OR(E26="",M26=""),"",E26*M26)</x:f>
      </x:c>
      <x:c r="O26" s="59"/>
      <x:c r="P26" s="59"/>
      <x:c r="Q26" s="60" t="str">
        <x:f>IF(A26="","",SUM(H26:L26,N26:P26))</x:f>
      </x:c>
      <x:c r="R26" s="60" t="str">
        <x:f>IF(OR(E26="",Q26=""),"",E26-Q26)</x:f>
      </x:c>
      <x:c r="S26" s="61" t="str">
        <x:f>IF(OR(E26="",E26=0,R26=""),"",R26/E26)</x:f>
      </x:c>
      <x:c r="T26" s="58" t="str">
        <x:f>IF(A26="","",IF(OR(E26="",H26="",M26=""),"STOP: 未入力",IF(R26&lt;=0,"STOP: 利益なし","要確認")))</x:f>
      </x:c>
      <x:c r="U26" s="62"/>
      <x:c r="V26" s="57"/>
    </x:row>
    <x:row r="27" ht="20" customHeight="1">
      <x:c r="A27" s="57"/>
      <x:c r="B27" s="57"/>
      <x:c r="C27" s="59"/>
      <x:c r="D27" s="59"/>
      <x:c r="E27" s="60" t="str">
        <x:f>IF(OR(C27="",D27=""),"",C27+D27)</x:f>
      </x:c>
      <x:c r="F27" s="57"/>
      <x:c r="G27" s="59"/>
      <x:c r="H27" s="60" t="str">
        <x:f>IF(OR(F27="",G27=""),"",F27*G27)</x:f>
      </x:c>
      <x:c r="I27" s="59"/>
      <x:c r="J27" s="59"/>
      <x:c r="K27" s="59"/>
      <x:c r="L27" s="59"/>
      <x:c r="M27" s="61" t="str">
        <x:f>IF(OR(A27="",'設定'!$B$4=""),"",'設定'!$B$4)</x:f>
      </x:c>
      <x:c r="N27" s="60" t="str">
        <x:f>IF(OR(E27="",M27=""),"",E27*M27)</x:f>
      </x:c>
      <x:c r="O27" s="59"/>
      <x:c r="P27" s="59"/>
      <x:c r="Q27" s="60" t="str">
        <x:f>IF(A27="","",SUM(H27:L27,N27:P27))</x:f>
      </x:c>
      <x:c r="R27" s="60" t="str">
        <x:f>IF(OR(E27="",Q27=""),"",E27-Q27)</x:f>
      </x:c>
      <x:c r="S27" s="61" t="str">
        <x:f>IF(OR(E27="",E27=0,R27=""),"",R27/E27)</x:f>
      </x:c>
      <x:c r="T27" s="58" t="str">
        <x:f>IF(A27="","",IF(OR(E27="",H27="",M27=""),"STOP: 未入力",IF(R27&lt;=0,"STOP: 利益なし","要確認")))</x:f>
      </x:c>
      <x:c r="U27" s="62"/>
      <x:c r="V27" s="57"/>
    </x:row>
    <x:row r="28" ht="20" customHeight="1">
      <x:c r="A28" s="57"/>
      <x:c r="B28" s="57"/>
      <x:c r="C28" s="59"/>
      <x:c r="D28" s="59"/>
      <x:c r="E28" s="60" t="str">
        <x:f>IF(OR(C28="",D28=""),"",C28+D28)</x:f>
      </x:c>
      <x:c r="F28" s="57"/>
      <x:c r="G28" s="59"/>
      <x:c r="H28" s="60" t="str">
        <x:f>IF(OR(F28="",G28=""),"",F28*G28)</x:f>
      </x:c>
      <x:c r="I28" s="59"/>
      <x:c r="J28" s="59"/>
      <x:c r="K28" s="59"/>
      <x:c r="L28" s="59"/>
      <x:c r="M28" s="61" t="str">
        <x:f>IF(OR(A28="",'設定'!$B$4=""),"",'設定'!$B$4)</x:f>
      </x:c>
      <x:c r="N28" s="60" t="str">
        <x:f>IF(OR(E28="",M28=""),"",E28*M28)</x:f>
      </x:c>
      <x:c r="O28" s="59"/>
      <x:c r="P28" s="59"/>
      <x:c r="Q28" s="60" t="str">
        <x:f>IF(A28="","",SUM(H28:L28,N28:P28))</x:f>
      </x:c>
      <x:c r="R28" s="60" t="str">
        <x:f>IF(OR(E28="",Q28=""),"",E28-Q28)</x:f>
      </x:c>
      <x:c r="S28" s="61" t="str">
        <x:f>IF(OR(E28="",E28=0,R28=""),"",R28/E28)</x:f>
      </x:c>
      <x:c r="T28" s="58" t="str">
        <x:f>IF(A28="","",IF(OR(E28="",H28="",M28=""),"STOP: 未入力",IF(R28&lt;=0,"STOP: 利益なし","要確認")))</x:f>
      </x:c>
      <x:c r="U28" s="62"/>
      <x:c r="V28" s="57"/>
    </x:row>
    <x:row r="29" ht="20" customHeight="1">
      <x:c r="A29" s="57"/>
      <x:c r="B29" s="57"/>
      <x:c r="C29" s="59"/>
      <x:c r="D29" s="59"/>
      <x:c r="E29" s="60" t="str">
        <x:f>IF(OR(C29="",D29=""),"",C29+D29)</x:f>
      </x:c>
      <x:c r="F29" s="57"/>
      <x:c r="G29" s="59"/>
      <x:c r="H29" s="60" t="str">
        <x:f>IF(OR(F29="",G29=""),"",F29*G29)</x:f>
      </x:c>
      <x:c r="I29" s="59"/>
      <x:c r="J29" s="59"/>
      <x:c r="K29" s="59"/>
      <x:c r="L29" s="59"/>
      <x:c r="M29" s="61" t="str">
        <x:f>IF(OR(A29="",'設定'!$B$4=""),"",'設定'!$B$4)</x:f>
      </x:c>
      <x:c r="N29" s="60" t="str">
        <x:f>IF(OR(E29="",M29=""),"",E29*M29)</x:f>
      </x:c>
      <x:c r="O29" s="59"/>
      <x:c r="P29" s="59"/>
      <x:c r="Q29" s="60" t="str">
        <x:f>IF(A29="","",SUM(H29:L29,N29:P29))</x:f>
      </x:c>
      <x:c r="R29" s="60" t="str">
        <x:f>IF(OR(E29="",Q29=""),"",E29-Q29)</x:f>
      </x:c>
      <x:c r="S29" s="61" t="str">
        <x:f>IF(OR(E29="",E29=0,R29=""),"",R29/E29)</x:f>
      </x:c>
      <x:c r="T29" s="58" t="str">
        <x:f>IF(A29="","",IF(OR(E29="",H29="",M29=""),"STOP: 未入力",IF(R29&lt;=0,"STOP: 利益なし","要確認")))</x:f>
      </x:c>
      <x:c r="U29" s="62"/>
      <x:c r="V29" s="57"/>
    </x:row>
    <x:row r="30" ht="20" customHeight="1">
      <x:c r="A30" s="57"/>
      <x:c r="B30" s="57"/>
      <x:c r="C30" s="59"/>
      <x:c r="D30" s="59"/>
      <x:c r="E30" s="60" t="str">
        <x:f>IF(OR(C30="",D30=""),"",C30+D30)</x:f>
      </x:c>
      <x:c r="F30" s="57"/>
      <x:c r="G30" s="59"/>
      <x:c r="H30" s="60" t="str">
        <x:f>IF(OR(F30="",G30=""),"",F30*G30)</x:f>
      </x:c>
      <x:c r="I30" s="59"/>
      <x:c r="J30" s="59"/>
      <x:c r="K30" s="59"/>
      <x:c r="L30" s="59"/>
      <x:c r="M30" s="61" t="str">
        <x:f>IF(OR(A30="",'設定'!$B$4=""),"",'設定'!$B$4)</x:f>
      </x:c>
      <x:c r="N30" s="60" t="str">
        <x:f>IF(OR(E30="",M30=""),"",E30*M30)</x:f>
      </x:c>
      <x:c r="O30" s="59"/>
      <x:c r="P30" s="59"/>
      <x:c r="Q30" s="60" t="str">
        <x:f>IF(A30="","",SUM(H30:L30,N30:P30))</x:f>
      </x:c>
      <x:c r="R30" s="60" t="str">
        <x:f>IF(OR(E30="",Q30=""),"",E30-Q30)</x:f>
      </x:c>
      <x:c r="S30" s="61" t="str">
        <x:f>IF(OR(E30="",E30=0,R30=""),"",R30/E30)</x:f>
      </x:c>
      <x:c r="T30" s="58" t="str">
        <x:f>IF(A30="","",IF(OR(E30="",H30="",M30=""),"STOP: 未入力",IF(R30&lt;=0,"STOP: 利益なし","要確認")))</x:f>
      </x:c>
      <x:c r="U30" s="62"/>
      <x:c r="V30" s="57"/>
    </x:row>
    <x:row r="31" ht="20" customHeight="1">
      <x:c r="A31" s="57"/>
      <x:c r="B31" s="57"/>
      <x:c r="C31" s="59"/>
      <x:c r="D31" s="59"/>
      <x:c r="E31" s="60" t="str">
        <x:f>IF(OR(C31="",D31=""),"",C31+D31)</x:f>
      </x:c>
      <x:c r="F31" s="57"/>
      <x:c r="G31" s="59"/>
      <x:c r="H31" s="60" t="str">
        <x:f>IF(OR(F31="",G31=""),"",F31*G31)</x:f>
      </x:c>
      <x:c r="I31" s="59"/>
      <x:c r="J31" s="59"/>
      <x:c r="K31" s="59"/>
      <x:c r="L31" s="59"/>
      <x:c r="M31" s="61" t="str">
        <x:f>IF(OR(A31="",'設定'!$B$4=""),"",'設定'!$B$4)</x:f>
      </x:c>
      <x:c r="N31" s="60" t="str">
        <x:f>IF(OR(E31="",M31=""),"",E31*M31)</x:f>
      </x:c>
      <x:c r="O31" s="59"/>
      <x:c r="P31" s="59"/>
      <x:c r="Q31" s="60" t="str">
        <x:f>IF(A31="","",SUM(H31:L31,N31:P31))</x:f>
      </x:c>
      <x:c r="R31" s="60" t="str">
        <x:f>IF(OR(E31="",Q31=""),"",E31-Q31)</x:f>
      </x:c>
      <x:c r="S31" s="61" t="str">
        <x:f>IF(OR(E31="",E31=0,R31=""),"",R31/E31)</x:f>
      </x:c>
      <x:c r="T31" s="58" t="str">
        <x:f>IF(A31="","",IF(OR(E31="",H31="",M31=""),"STOP: 未入力",IF(R31&lt;=0,"STOP: 利益なし","要確認")))</x:f>
      </x:c>
      <x:c r="U31" s="62"/>
      <x:c r="V31" s="57"/>
    </x:row>
    <x:row r="32" ht="20" customHeight="1">
      <x:c r="A32" s="57"/>
      <x:c r="B32" s="57"/>
      <x:c r="C32" s="59"/>
      <x:c r="D32" s="59"/>
      <x:c r="E32" s="60" t="str">
        <x:f>IF(OR(C32="",D32=""),"",C32+D32)</x:f>
      </x:c>
      <x:c r="F32" s="57"/>
      <x:c r="G32" s="59"/>
      <x:c r="H32" s="60" t="str">
        <x:f>IF(OR(F32="",G32=""),"",F32*G32)</x:f>
      </x:c>
      <x:c r="I32" s="59"/>
      <x:c r="J32" s="59"/>
      <x:c r="K32" s="59"/>
      <x:c r="L32" s="59"/>
      <x:c r="M32" s="61" t="str">
        <x:f>IF(OR(A32="",'設定'!$B$4=""),"",'設定'!$B$4)</x:f>
      </x:c>
      <x:c r="N32" s="60" t="str">
        <x:f>IF(OR(E32="",M32=""),"",E32*M32)</x:f>
      </x:c>
      <x:c r="O32" s="59"/>
      <x:c r="P32" s="59"/>
      <x:c r="Q32" s="60" t="str">
        <x:f>IF(A32="","",SUM(H32:L32,N32:P32))</x:f>
      </x:c>
      <x:c r="R32" s="60" t="str">
        <x:f>IF(OR(E32="",Q32=""),"",E32-Q32)</x:f>
      </x:c>
      <x:c r="S32" s="61" t="str">
        <x:f>IF(OR(E32="",E32=0,R32=""),"",R32/E32)</x:f>
      </x:c>
      <x:c r="T32" s="58" t="str">
        <x:f>IF(A32="","",IF(OR(E32="",H32="",M32=""),"STOP: 未入力",IF(R32&lt;=0,"STOP: 利益なし","要確認")))</x:f>
      </x:c>
      <x:c r="U32" s="62"/>
      <x:c r="V32" s="57"/>
    </x:row>
    <x:row r="33" ht="20" customHeight="1">
      <x:c r="A33" s="57"/>
      <x:c r="B33" s="57"/>
      <x:c r="C33" s="59"/>
      <x:c r="D33" s="59"/>
      <x:c r="E33" s="60" t="str">
        <x:f>IF(OR(C33="",D33=""),"",C33+D33)</x:f>
      </x:c>
      <x:c r="F33" s="57"/>
      <x:c r="G33" s="59"/>
      <x:c r="H33" s="60" t="str">
        <x:f>IF(OR(F33="",G33=""),"",F33*G33)</x:f>
      </x:c>
      <x:c r="I33" s="59"/>
      <x:c r="J33" s="59"/>
      <x:c r="K33" s="59"/>
      <x:c r="L33" s="59"/>
      <x:c r="M33" s="61" t="str">
        <x:f>IF(OR(A33="",'設定'!$B$4=""),"",'設定'!$B$4)</x:f>
      </x:c>
      <x:c r="N33" s="60" t="str">
        <x:f>IF(OR(E33="",M33=""),"",E33*M33)</x:f>
      </x:c>
      <x:c r="O33" s="59"/>
      <x:c r="P33" s="59"/>
      <x:c r="Q33" s="60" t="str">
        <x:f>IF(A33="","",SUM(H33:L33,N33:P33))</x:f>
      </x:c>
      <x:c r="R33" s="60" t="str">
        <x:f>IF(OR(E33="",Q33=""),"",E33-Q33)</x:f>
      </x:c>
      <x:c r="S33" s="61" t="str">
        <x:f>IF(OR(E33="",E33=0,R33=""),"",R33/E33)</x:f>
      </x:c>
      <x:c r="T33" s="58" t="str">
        <x:f>IF(A33="","",IF(OR(E33="",H33="",M33=""),"STOP: 未入力",IF(R33&lt;=0,"STOP: 利益なし","要確認")))</x:f>
      </x:c>
      <x:c r="U33" s="62"/>
      <x:c r="V33" s="57"/>
    </x:row>
    <x:row r="34" ht="20" customHeight="1">
      <x:c r="A34" s="57"/>
      <x:c r="B34" s="57"/>
      <x:c r="C34" s="59"/>
      <x:c r="D34" s="59"/>
      <x:c r="E34" s="60" t="str">
        <x:f>IF(OR(C34="",D34=""),"",C34+D34)</x:f>
      </x:c>
      <x:c r="F34" s="57"/>
      <x:c r="G34" s="59"/>
      <x:c r="H34" s="60" t="str">
        <x:f>IF(OR(F34="",G34=""),"",F34*G34)</x:f>
      </x:c>
      <x:c r="I34" s="59"/>
      <x:c r="J34" s="59"/>
      <x:c r="K34" s="59"/>
      <x:c r="L34" s="59"/>
      <x:c r="M34" s="61" t="str">
        <x:f>IF(OR(A34="",'設定'!$B$4=""),"",'設定'!$B$4)</x:f>
      </x:c>
      <x:c r="N34" s="60" t="str">
        <x:f>IF(OR(E34="",M34=""),"",E34*M34)</x:f>
      </x:c>
      <x:c r="O34" s="59"/>
      <x:c r="P34" s="59"/>
      <x:c r="Q34" s="60" t="str">
        <x:f>IF(A34="","",SUM(H34:L34,N34:P34))</x:f>
      </x:c>
      <x:c r="R34" s="60" t="str">
        <x:f>IF(OR(E34="",Q34=""),"",E34-Q34)</x:f>
      </x:c>
      <x:c r="S34" s="61" t="str">
        <x:f>IF(OR(E34="",E34=0,R34=""),"",R34/E34)</x:f>
      </x:c>
      <x:c r="T34" s="58" t="str">
        <x:f>IF(A34="","",IF(OR(E34="",H34="",M34=""),"STOP: 未入力",IF(R34&lt;=0,"STOP: 利益なし","要確認")))</x:f>
      </x:c>
      <x:c r="U34" s="62"/>
      <x:c r="V34" s="57"/>
    </x:row>
    <x:row r="35" ht="20" customHeight="1">
      <x:c r="A35" s="57"/>
      <x:c r="B35" s="57"/>
      <x:c r="C35" s="59"/>
      <x:c r="D35" s="59"/>
      <x:c r="E35" s="60" t="str">
        <x:f>IF(OR(C35="",D35=""),"",C35+D35)</x:f>
      </x:c>
      <x:c r="F35" s="57"/>
      <x:c r="G35" s="59"/>
      <x:c r="H35" s="60" t="str">
        <x:f>IF(OR(F35="",G35=""),"",F35*G35)</x:f>
      </x:c>
      <x:c r="I35" s="59"/>
      <x:c r="J35" s="59"/>
      <x:c r="K35" s="59"/>
      <x:c r="L35" s="59"/>
      <x:c r="M35" s="61" t="str">
        <x:f>IF(OR(A35="",'設定'!$B$4=""),"",'設定'!$B$4)</x:f>
      </x:c>
      <x:c r="N35" s="60" t="str">
        <x:f>IF(OR(E35="",M35=""),"",E35*M35)</x:f>
      </x:c>
      <x:c r="O35" s="59"/>
      <x:c r="P35" s="59"/>
      <x:c r="Q35" s="60" t="str">
        <x:f>IF(A35="","",SUM(H35:L35,N35:P35))</x:f>
      </x:c>
      <x:c r="R35" s="60" t="str">
        <x:f>IF(OR(E35="",Q35=""),"",E35-Q35)</x:f>
      </x:c>
      <x:c r="S35" s="61" t="str">
        <x:f>IF(OR(E35="",E35=0,R35=""),"",R35/E35)</x:f>
      </x:c>
      <x:c r="T35" s="58" t="str">
        <x:f>IF(A35="","",IF(OR(E35="",H35="",M35=""),"STOP: 未入力",IF(R35&lt;=0,"STOP: 利益なし","要確認")))</x:f>
      </x:c>
      <x:c r="U35" s="62"/>
      <x:c r="V35" s="57"/>
    </x:row>
    <x:row r="36" ht="20" customHeight="1">
      <x:c r="A36" s="57"/>
      <x:c r="B36" s="57"/>
      <x:c r="C36" s="59"/>
      <x:c r="D36" s="59"/>
      <x:c r="E36" s="60" t="str">
        <x:f>IF(OR(C36="",D36=""),"",C36+D36)</x:f>
      </x:c>
      <x:c r="F36" s="57"/>
      <x:c r="G36" s="59"/>
      <x:c r="H36" s="60" t="str">
        <x:f>IF(OR(F36="",G36=""),"",F36*G36)</x:f>
      </x:c>
      <x:c r="I36" s="59"/>
      <x:c r="J36" s="59"/>
      <x:c r="K36" s="59"/>
      <x:c r="L36" s="59"/>
      <x:c r="M36" s="61" t="str">
        <x:f>IF(OR(A36="",'設定'!$B$4=""),"",'設定'!$B$4)</x:f>
      </x:c>
      <x:c r="N36" s="60" t="str">
        <x:f>IF(OR(E36="",M36=""),"",E36*M36)</x:f>
      </x:c>
      <x:c r="O36" s="59"/>
      <x:c r="P36" s="59"/>
      <x:c r="Q36" s="60" t="str">
        <x:f>IF(A36="","",SUM(H36:L36,N36:P36))</x:f>
      </x:c>
      <x:c r="R36" s="60" t="str">
        <x:f>IF(OR(E36="",Q36=""),"",E36-Q36)</x:f>
      </x:c>
      <x:c r="S36" s="61" t="str">
        <x:f>IF(OR(E36="",E36=0,R36=""),"",R36/E36)</x:f>
      </x:c>
      <x:c r="T36" s="58" t="str">
        <x:f>IF(A36="","",IF(OR(E36="",H36="",M36=""),"STOP: 未入力",IF(R36&lt;=0,"STOP: 利益なし","要確認")))</x:f>
      </x:c>
      <x:c r="U36" s="62"/>
      <x:c r="V36" s="57"/>
    </x:row>
    <x:row r="37" ht="20" customHeight="1">
      <x:c r="A37" s="57"/>
      <x:c r="B37" s="57"/>
      <x:c r="C37" s="59"/>
      <x:c r="D37" s="59"/>
      <x:c r="E37" s="60" t="str">
        <x:f>IF(OR(C37="",D37=""),"",C37+D37)</x:f>
      </x:c>
      <x:c r="F37" s="57"/>
      <x:c r="G37" s="59"/>
      <x:c r="H37" s="60" t="str">
        <x:f>IF(OR(F37="",G37=""),"",F37*G37)</x:f>
      </x:c>
      <x:c r="I37" s="59"/>
      <x:c r="J37" s="59"/>
      <x:c r="K37" s="59"/>
      <x:c r="L37" s="59"/>
      <x:c r="M37" s="61" t="str">
        <x:f>IF(OR(A37="",'設定'!$B$4=""),"",'設定'!$B$4)</x:f>
      </x:c>
      <x:c r="N37" s="60" t="str">
        <x:f>IF(OR(E37="",M37=""),"",E37*M37)</x:f>
      </x:c>
      <x:c r="O37" s="59"/>
      <x:c r="P37" s="59"/>
      <x:c r="Q37" s="60" t="str">
        <x:f>IF(A37="","",SUM(H37:L37,N37:P37))</x:f>
      </x:c>
      <x:c r="R37" s="60" t="str">
        <x:f>IF(OR(E37="",Q37=""),"",E37-Q37)</x:f>
      </x:c>
      <x:c r="S37" s="61" t="str">
        <x:f>IF(OR(E37="",E37=0,R37=""),"",R37/E37)</x:f>
      </x:c>
      <x:c r="T37" s="58" t="str">
        <x:f>IF(A37="","",IF(OR(E37="",H37="",M37=""),"STOP: 未入力",IF(R37&lt;=0,"STOP: 利益なし","要確認")))</x:f>
      </x:c>
      <x:c r="U37" s="62"/>
      <x:c r="V37" s="57"/>
    </x:row>
    <x:row r="38" ht="20" customHeight="1">
      <x:c r="A38" s="57"/>
      <x:c r="B38" s="57"/>
      <x:c r="C38" s="59"/>
      <x:c r="D38" s="59"/>
      <x:c r="E38" s="60" t="str">
        <x:f>IF(OR(C38="",D38=""),"",C38+D38)</x:f>
      </x:c>
      <x:c r="F38" s="57"/>
      <x:c r="G38" s="59"/>
      <x:c r="H38" s="60" t="str">
        <x:f>IF(OR(F38="",G38=""),"",F38*G38)</x:f>
      </x:c>
      <x:c r="I38" s="59"/>
      <x:c r="J38" s="59"/>
      <x:c r="K38" s="59"/>
      <x:c r="L38" s="59"/>
      <x:c r="M38" s="61" t="str">
        <x:f>IF(OR(A38="",'設定'!$B$4=""),"",'設定'!$B$4)</x:f>
      </x:c>
      <x:c r="N38" s="60" t="str">
        <x:f>IF(OR(E38="",M38=""),"",E38*M38)</x:f>
      </x:c>
      <x:c r="O38" s="59"/>
      <x:c r="P38" s="59"/>
      <x:c r="Q38" s="60" t="str">
        <x:f>IF(A38="","",SUM(H38:L38,N38:P38))</x:f>
      </x:c>
      <x:c r="R38" s="60" t="str">
        <x:f>IF(OR(E38="",Q38=""),"",E38-Q38)</x:f>
      </x:c>
      <x:c r="S38" s="61" t="str">
        <x:f>IF(OR(E38="",E38=0,R38=""),"",R38/E38)</x:f>
      </x:c>
      <x:c r="T38" s="58" t="str">
        <x:f>IF(A38="","",IF(OR(E38="",H38="",M38=""),"STOP: 未入力",IF(R38&lt;=0,"STOP: 利益なし","要確認")))</x:f>
      </x:c>
      <x:c r="U38" s="62"/>
      <x:c r="V38" s="57"/>
    </x:row>
    <x:row r="39" ht="20" customHeight="1">
      <x:c r="A39" s="57"/>
      <x:c r="B39" s="57"/>
      <x:c r="C39" s="59"/>
      <x:c r="D39" s="59"/>
      <x:c r="E39" s="60" t="str">
        <x:f>IF(OR(C39="",D39=""),"",C39+D39)</x:f>
      </x:c>
      <x:c r="F39" s="57"/>
      <x:c r="G39" s="59"/>
      <x:c r="H39" s="60" t="str">
        <x:f>IF(OR(F39="",G39=""),"",F39*G39)</x:f>
      </x:c>
      <x:c r="I39" s="59"/>
      <x:c r="J39" s="59"/>
      <x:c r="K39" s="59"/>
      <x:c r="L39" s="59"/>
      <x:c r="M39" s="61" t="str">
        <x:f>IF(OR(A39="",'設定'!$B$4=""),"",'設定'!$B$4)</x:f>
      </x:c>
      <x:c r="N39" s="60" t="str">
        <x:f>IF(OR(E39="",M39=""),"",E39*M39)</x:f>
      </x:c>
      <x:c r="O39" s="59"/>
      <x:c r="P39" s="59"/>
      <x:c r="Q39" s="60" t="str">
        <x:f>IF(A39="","",SUM(H39:L39,N39:P39))</x:f>
      </x:c>
      <x:c r="R39" s="60" t="str">
        <x:f>IF(OR(E39="",Q39=""),"",E39-Q39)</x:f>
      </x:c>
      <x:c r="S39" s="61" t="str">
        <x:f>IF(OR(E39="",E39=0,R39=""),"",R39/E39)</x:f>
      </x:c>
      <x:c r="T39" s="58" t="str">
        <x:f>IF(A39="","",IF(OR(E39="",H39="",M39=""),"STOP: 未入力",IF(R39&lt;=0,"STOP: 利益なし","要確認")))</x:f>
      </x:c>
      <x:c r="U39" s="62"/>
      <x:c r="V39" s="57"/>
    </x:row>
    <x:row r="40" ht="20" customHeight="1">
      <x:c r="A40" s="57"/>
      <x:c r="B40" s="57"/>
      <x:c r="C40" s="59"/>
      <x:c r="D40" s="59"/>
      <x:c r="E40" s="60" t="str">
        <x:f>IF(OR(C40="",D40=""),"",C40+D40)</x:f>
      </x:c>
      <x:c r="F40" s="57"/>
      <x:c r="G40" s="59"/>
      <x:c r="H40" s="60" t="str">
        <x:f>IF(OR(F40="",G40=""),"",F40*G40)</x:f>
      </x:c>
      <x:c r="I40" s="59"/>
      <x:c r="J40" s="59"/>
      <x:c r="K40" s="59"/>
      <x:c r="L40" s="59"/>
      <x:c r="M40" s="61" t="str">
        <x:f>IF(OR(A40="",'設定'!$B$4=""),"",'設定'!$B$4)</x:f>
      </x:c>
      <x:c r="N40" s="60" t="str">
        <x:f>IF(OR(E40="",M40=""),"",E40*M40)</x:f>
      </x:c>
      <x:c r="O40" s="59"/>
      <x:c r="P40" s="59"/>
      <x:c r="Q40" s="60" t="str">
        <x:f>IF(A40="","",SUM(H40:L40,N40:P40))</x:f>
      </x:c>
      <x:c r="R40" s="60" t="str">
        <x:f>IF(OR(E40="",Q40=""),"",E40-Q40)</x:f>
      </x:c>
      <x:c r="S40" s="61" t="str">
        <x:f>IF(OR(E40="",E40=0,R40=""),"",R40/E40)</x:f>
      </x:c>
      <x:c r="T40" s="58" t="str">
        <x:f>IF(A40="","",IF(OR(E40="",H40="",M40=""),"STOP: 未入力",IF(R40&lt;=0,"STOP: 利益なし","要確認")))</x:f>
      </x:c>
      <x:c r="U40" s="62"/>
      <x:c r="V40" s="57"/>
    </x:row>
    <x:row r="41" ht="20" customHeight="1">
      <x:c r="A41" s="57"/>
      <x:c r="B41" s="57"/>
      <x:c r="C41" s="59"/>
      <x:c r="D41" s="59"/>
      <x:c r="E41" s="60" t="str">
        <x:f>IF(OR(C41="",D41=""),"",C41+D41)</x:f>
      </x:c>
      <x:c r="F41" s="57"/>
      <x:c r="G41" s="59"/>
      <x:c r="H41" s="60" t="str">
        <x:f>IF(OR(F41="",G41=""),"",F41*G41)</x:f>
      </x:c>
      <x:c r="I41" s="59"/>
      <x:c r="J41" s="59"/>
      <x:c r="K41" s="59"/>
      <x:c r="L41" s="59"/>
      <x:c r="M41" s="61" t="str">
        <x:f>IF(OR(A41="",'設定'!$B$4=""),"",'設定'!$B$4)</x:f>
      </x:c>
      <x:c r="N41" s="60" t="str">
        <x:f>IF(OR(E41="",M41=""),"",E41*M41)</x:f>
      </x:c>
      <x:c r="O41" s="59"/>
      <x:c r="P41" s="59"/>
      <x:c r="Q41" s="60" t="str">
        <x:f>IF(A41="","",SUM(H41:L41,N41:P41))</x:f>
      </x:c>
      <x:c r="R41" s="60" t="str">
        <x:f>IF(OR(E41="",Q41=""),"",E41-Q41)</x:f>
      </x:c>
      <x:c r="S41" s="61" t="str">
        <x:f>IF(OR(E41="",E41=0,R41=""),"",R41/E41)</x:f>
      </x:c>
      <x:c r="T41" s="58" t="str">
        <x:f>IF(A41="","",IF(OR(E41="",H41="",M41=""),"STOP: 未入力",IF(R41&lt;=0,"STOP: 利益なし","要確認")))</x:f>
      </x:c>
      <x:c r="U41" s="62"/>
      <x:c r="V41" s="57"/>
    </x:row>
    <x:row r="42" ht="20" customHeight="1">
      <x:c r="A42" s="57"/>
      <x:c r="B42" s="57"/>
      <x:c r="C42" s="59"/>
      <x:c r="D42" s="59"/>
      <x:c r="E42" s="60" t="str">
        <x:f>IF(OR(C42="",D42=""),"",C42+D42)</x:f>
      </x:c>
      <x:c r="F42" s="57"/>
      <x:c r="G42" s="59"/>
      <x:c r="H42" s="60" t="str">
        <x:f>IF(OR(F42="",G42=""),"",F42*G42)</x:f>
      </x:c>
      <x:c r="I42" s="59"/>
      <x:c r="J42" s="59"/>
      <x:c r="K42" s="59"/>
      <x:c r="L42" s="59"/>
      <x:c r="M42" s="61" t="str">
        <x:f>IF(OR(A42="",'設定'!$B$4=""),"",'設定'!$B$4)</x:f>
      </x:c>
      <x:c r="N42" s="60" t="str">
        <x:f>IF(OR(E42="",M42=""),"",E42*M42)</x:f>
      </x:c>
      <x:c r="O42" s="59"/>
      <x:c r="P42" s="59"/>
      <x:c r="Q42" s="60" t="str">
        <x:f>IF(A42="","",SUM(H42:L42,N42:P42))</x:f>
      </x:c>
      <x:c r="R42" s="60" t="str">
        <x:f>IF(OR(E42="",Q42=""),"",E42-Q42)</x:f>
      </x:c>
      <x:c r="S42" s="61" t="str">
        <x:f>IF(OR(E42="",E42=0,R42=""),"",R42/E42)</x:f>
      </x:c>
      <x:c r="T42" s="58" t="str">
        <x:f>IF(A42="","",IF(OR(E42="",H42="",M42=""),"STOP: 未入力",IF(R42&lt;=0,"STOP: 利益なし","要確認")))</x:f>
      </x:c>
      <x:c r="U42" s="62"/>
      <x:c r="V42" s="57"/>
    </x:row>
    <x:row r="43" ht="20" customHeight="1">
      <x:c r="A43" s="57"/>
      <x:c r="B43" s="57"/>
      <x:c r="C43" s="59"/>
      <x:c r="D43" s="59"/>
      <x:c r="E43" s="60" t="str">
        <x:f>IF(OR(C43="",D43=""),"",C43+D43)</x:f>
      </x:c>
      <x:c r="F43" s="57"/>
      <x:c r="G43" s="59"/>
      <x:c r="H43" s="60" t="str">
        <x:f>IF(OR(F43="",G43=""),"",F43*G43)</x:f>
      </x:c>
      <x:c r="I43" s="59"/>
      <x:c r="J43" s="59"/>
      <x:c r="K43" s="59"/>
      <x:c r="L43" s="59"/>
      <x:c r="M43" s="61" t="str">
        <x:f>IF(OR(A43="",'設定'!$B$4=""),"",'設定'!$B$4)</x:f>
      </x:c>
      <x:c r="N43" s="60" t="str">
        <x:f>IF(OR(E43="",M43=""),"",E43*M43)</x:f>
      </x:c>
      <x:c r="O43" s="59"/>
      <x:c r="P43" s="59"/>
      <x:c r="Q43" s="60" t="str">
        <x:f>IF(A43="","",SUM(H43:L43,N43:P43))</x:f>
      </x:c>
      <x:c r="R43" s="60" t="str">
        <x:f>IF(OR(E43="",Q43=""),"",E43-Q43)</x:f>
      </x:c>
      <x:c r="S43" s="61" t="str">
        <x:f>IF(OR(E43="",E43=0,R43=""),"",R43/E43)</x:f>
      </x:c>
      <x:c r="T43" s="58" t="str">
        <x:f>IF(A43="","",IF(OR(E43="",H43="",M43=""),"STOP: 未入力",IF(R43&lt;=0,"STOP: 利益なし","要確認")))</x:f>
      </x:c>
      <x:c r="U43" s="62"/>
      <x:c r="V43" s="57"/>
    </x:row>
    <x:row r="44" ht="20" customHeight="1">
      <x:c r="A44" s="57"/>
      <x:c r="B44" s="57"/>
      <x:c r="C44" s="59"/>
      <x:c r="D44" s="59"/>
      <x:c r="E44" s="60" t="str">
        <x:f>IF(OR(C44="",D44=""),"",C44+D44)</x:f>
      </x:c>
      <x:c r="F44" s="57"/>
      <x:c r="G44" s="59"/>
      <x:c r="H44" s="60" t="str">
        <x:f>IF(OR(F44="",G44=""),"",F44*G44)</x:f>
      </x:c>
      <x:c r="I44" s="59"/>
      <x:c r="J44" s="59"/>
      <x:c r="K44" s="59"/>
      <x:c r="L44" s="59"/>
      <x:c r="M44" s="61" t="str">
        <x:f>IF(OR(A44="",'設定'!$B$4=""),"",'設定'!$B$4)</x:f>
      </x:c>
      <x:c r="N44" s="60" t="str">
        <x:f>IF(OR(E44="",M44=""),"",E44*M44)</x:f>
      </x:c>
      <x:c r="O44" s="59"/>
      <x:c r="P44" s="59"/>
      <x:c r="Q44" s="60" t="str">
        <x:f>IF(A44="","",SUM(H44:L44,N44:P44))</x:f>
      </x:c>
      <x:c r="R44" s="60" t="str">
        <x:f>IF(OR(E44="",Q44=""),"",E44-Q44)</x:f>
      </x:c>
      <x:c r="S44" s="61" t="str">
        <x:f>IF(OR(E44="",E44=0,R44=""),"",R44/E44)</x:f>
      </x:c>
      <x:c r="T44" s="58" t="str">
        <x:f>IF(A44="","",IF(OR(E44="",H44="",M44=""),"STOP: 未入力",IF(R44&lt;=0,"STOP: 利益なし","要確認")))</x:f>
      </x:c>
      <x:c r="U44" s="62"/>
      <x:c r="V44" s="57"/>
    </x:row>
    <x:row r="45" ht="20" customHeight="1">
      <x:c r="A45" s="57"/>
      <x:c r="B45" s="57"/>
      <x:c r="C45" s="59"/>
      <x:c r="D45" s="59"/>
      <x:c r="E45" s="60" t="str">
        <x:f>IF(OR(C45="",D45=""),"",C45+D45)</x:f>
      </x:c>
      <x:c r="F45" s="57"/>
      <x:c r="G45" s="59"/>
      <x:c r="H45" s="60" t="str">
        <x:f>IF(OR(F45="",G45=""),"",F45*G45)</x:f>
      </x:c>
      <x:c r="I45" s="59"/>
      <x:c r="J45" s="59"/>
      <x:c r="K45" s="59"/>
      <x:c r="L45" s="59"/>
      <x:c r="M45" s="61" t="str">
        <x:f>IF(OR(A45="",'設定'!$B$4=""),"",'設定'!$B$4)</x:f>
      </x:c>
      <x:c r="N45" s="60" t="str">
        <x:f>IF(OR(E45="",M45=""),"",E45*M45)</x:f>
      </x:c>
      <x:c r="O45" s="59"/>
      <x:c r="P45" s="59"/>
      <x:c r="Q45" s="60" t="str">
        <x:f>IF(A45="","",SUM(H45:L45,N45:P45))</x:f>
      </x:c>
      <x:c r="R45" s="60" t="str">
        <x:f>IF(OR(E45="",Q45=""),"",E45-Q45)</x:f>
      </x:c>
      <x:c r="S45" s="61" t="str">
        <x:f>IF(OR(E45="",E45=0,R45=""),"",R45/E45)</x:f>
      </x:c>
      <x:c r="T45" s="58" t="str">
        <x:f>IF(A45="","",IF(OR(E45="",H45="",M45=""),"STOP: 未入力",IF(R45&lt;=0,"STOP: 利益なし","要確認")))</x:f>
      </x:c>
      <x:c r="U45" s="62"/>
      <x:c r="V45" s="57"/>
    </x:row>
    <x:row r="46" ht="20" customHeight="1">
      <x:c r="A46" s="57"/>
      <x:c r="B46" s="57"/>
      <x:c r="C46" s="59"/>
      <x:c r="D46" s="59"/>
      <x:c r="E46" s="60" t="str">
        <x:f>IF(OR(C46="",D46=""),"",C46+D46)</x:f>
      </x:c>
      <x:c r="F46" s="57"/>
      <x:c r="G46" s="59"/>
      <x:c r="H46" s="60" t="str">
        <x:f>IF(OR(F46="",G46=""),"",F46*G46)</x:f>
      </x:c>
      <x:c r="I46" s="59"/>
      <x:c r="J46" s="59"/>
      <x:c r="K46" s="59"/>
      <x:c r="L46" s="59"/>
      <x:c r="M46" s="61" t="str">
        <x:f>IF(OR(A46="",'設定'!$B$4=""),"",'設定'!$B$4)</x:f>
      </x:c>
      <x:c r="N46" s="60" t="str">
        <x:f>IF(OR(E46="",M46=""),"",E46*M46)</x:f>
      </x:c>
      <x:c r="O46" s="59"/>
      <x:c r="P46" s="59"/>
      <x:c r="Q46" s="60" t="str">
        <x:f>IF(A46="","",SUM(H46:L46,N46:P46))</x:f>
      </x:c>
      <x:c r="R46" s="60" t="str">
        <x:f>IF(OR(E46="",Q46=""),"",E46-Q46)</x:f>
      </x:c>
      <x:c r="S46" s="61" t="str">
        <x:f>IF(OR(E46="",E46=0,R46=""),"",R46/E46)</x:f>
      </x:c>
      <x:c r="T46" s="58" t="str">
        <x:f>IF(A46="","",IF(OR(E46="",H46="",M46=""),"STOP: 未入力",IF(R46&lt;=0,"STOP: 利益なし","要確認")))</x:f>
      </x:c>
      <x:c r="U46" s="62"/>
      <x:c r="V46" s="57"/>
    </x:row>
    <x:row r="47" ht="20" customHeight="1">
      <x:c r="A47" s="57"/>
      <x:c r="B47" s="57"/>
      <x:c r="C47" s="59"/>
      <x:c r="D47" s="59"/>
      <x:c r="E47" s="60" t="str">
        <x:f>IF(OR(C47="",D47=""),"",C47+D47)</x:f>
      </x:c>
      <x:c r="F47" s="57"/>
      <x:c r="G47" s="59"/>
      <x:c r="H47" s="60" t="str">
        <x:f>IF(OR(F47="",G47=""),"",F47*G47)</x:f>
      </x:c>
      <x:c r="I47" s="59"/>
      <x:c r="J47" s="59"/>
      <x:c r="K47" s="59"/>
      <x:c r="L47" s="59"/>
      <x:c r="M47" s="61" t="str">
        <x:f>IF(OR(A47="",'設定'!$B$4=""),"",'設定'!$B$4)</x:f>
      </x:c>
      <x:c r="N47" s="60" t="str">
        <x:f>IF(OR(E47="",M47=""),"",E47*M47)</x:f>
      </x:c>
      <x:c r="O47" s="59"/>
      <x:c r="P47" s="59"/>
      <x:c r="Q47" s="60" t="str">
        <x:f>IF(A47="","",SUM(H47:L47,N47:P47))</x:f>
      </x:c>
      <x:c r="R47" s="60" t="str">
        <x:f>IF(OR(E47="",Q47=""),"",E47-Q47)</x:f>
      </x:c>
      <x:c r="S47" s="61" t="str">
        <x:f>IF(OR(E47="",E47=0,R47=""),"",R47/E47)</x:f>
      </x:c>
      <x:c r="T47" s="58" t="str">
        <x:f>IF(A47="","",IF(OR(E47="",H47="",M47=""),"STOP: 未入力",IF(R47&lt;=0,"STOP: 利益なし","要確認")))</x:f>
      </x:c>
      <x:c r="U47" s="62"/>
      <x:c r="V47" s="57"/>
    </x:row>
    <x:row r="48" ht="20" customHeight="1">
      <x:c r="A48" s="57"/>
      <x:c r="B48" s="57"/>
      <x:c r="C48" s="59"/>
      <x:c r="D48" s="59"/>
      <x:c r="E48" s="60" t="str">
        <x:f>IF(OR(C48="",D48=""),"",C48+D48)</x:f>
      </x:c>
      <x:c r="F48" s="57"/>
      <x:c r="G48" s="59"/>
      <x:c r="H48" s="60" t="str">
        <x:f>IF(OR(F48="",G48=""),"",F48*G48)</x:f>
      </x:c>
      <x:c r="I48" s="59"/>
      <x:c r="J48" s="59"/>
      <x:c r="K48" s="59"/>
      <x:c r="L48" s="59"/>
      <x:c r="M48" s="61" t="str">
        <x:f>IF(OR(A48="",'設定'!$B$4=""),"",'設定'!$B$4)</x:f>
      </x:c>
      <x:c r="N48" s="60" t="str">
        <x:f>IF(OR(E48="",M48=""),"",E48*M48)</x:f>
      </x:c>
      <x:c r="O48" s="59"/>
      <x:c r="P48" s="59"/>
      <x:c r="Q48" s="60" t="str">
        <x:f>IF(A48="","",SUM(H48:L48,N48:P48))</x:f>
      </x:c>
      <x:c r="R48" s="60" t="str">
        <x:f>IF(OR(E48="",Q48=""),"",E48-Q48)</x:f>
      </x:c>
      <x:c r="S48" s="61" t="str">
        <x:f>IF(OR(E48="",E48=0,R48=""),"",R48/E48)</x:f>
      </x:c>
      <x:c r="T48" s="58" t="str">
        <x:f>IF(A48="","",IF(OR(E48="",H48="",M48=""),"STOP: 未入力",IF(R48&lt;=0,"STOP: 利益なし","要確認")))</x:f>
      </x:c>
      <x:c r="U48" s="62"/>
      <x:c r="V48" s="57"/>
    </x:row>
    <x:row r="49" ht="20" customHeight="1">
      <x:c r="A49" s="57"/>
      <x:c r="B49" s="57"/>
      <x:c r="C49" s="59"/>
      <x:c r="D49" s="59"/>
      <x:c r="E49" s="60" t="str">
        <x:f>IF(OR(C49="",D49=""),"",C49+D49)</x:f>
      </x:c>
      <x:c r="F49" s="57"/>
      <x:c r="G49" s="59"/>
      <x:c r="H49" s="60" t="str">
        <x:f>IF(OR(F49="",G49=""),"",F49*G49)</x:f>
      </x:c>
      <x:c r="I49" s="59"/>
      <x:c r="J49" s="59"/>
      <x:c r="K49" s="59"/>
      <x:c r="L49" s="59"/>
      <x:c r="M49" s="61" t="str">
        <x:f>IF(OR(A49="",'設定'!$B$4=""),"",'設定'!$B$4)</x:f>
      </x:c>
      <x:c r="N49" s="60" t="str">
        <x:f>IF(OR(E49="",M49=""),"",E49*M49)</x:f>
      </x:c>
      <x:c r="O49" s="59"/>
      <x:c r="P49" s="59"/>
      <x:c r="Q49" s="60" t="str">
        <x:f>IF(A49="","",SUM(H49:L49,N49:P49))</x:f>
      </x:c>
      <x:c r="R49" s="60" t="str">
        <x:f>IF(OR(E49="",Q49=""),"",E49-Q49)</x:f>
      </x:c>
      <x:c r="S49" s="61" t="str">
        <x:f>IF(OR(E49="",E49=0,R49=""),"",R49/E49)</x:f>
      </x:c>
      <x:c r="T49" s="58" t="str">
        <x:f>IF(A49="","",IF(OR(E49="",H49="",M49=""),"STOP: 未入力",IF(R49&lt;=0,"STOP: 利益なし","要確認")))</x:f>
      </x:c>
      <x:c r="U49" s="62"/>
      <x:c r="V49" s="57"/>
    </x:row>
    <x:row r="50" ht="20" customHeight="1">
      <x:c r="A50" s="57"/>
      <x:c r="B50" s="57"/>
      <x:c r="C50" s="59"/>
      <x:c r="D50" s="59"/>
      <x:c r="E50" s="60" t="str">
        <x:f>IF(OR(C50="",D50=""),"",C50+D50)</x:f>
      </x:c>
      <x:c r="F50" s="57"/>
      <x:c r="G50" s="59"/>
      <x:c r="H50" s="60" t="str">
        <x:f>IF(OR(F50="",G50=""),"",F50*G50)</x:f>
      </x:c>
      <x:c r="I50" s="59"/>
      <x:c r="J50" s="59"/>
      <x:c r="K50" s="59"/>
      <x:c r="L50" s="59"/>
      <x:c r="M50" s="61" t="str">
        <x:f>IF(OR(A50="",'設定'!$B$4=""),"",'設定'!$B$4)</x:f>
      </x:c>
      <x:c r="N50" s="60" t="str">
        <x:f>IF(OR(E50="",M50=""),"",E50*M50)</x:f>
      </x:c>
      <x:c r="O50" s="59"/>
      <x:c r="P50" s="59"/>
      <x:c r="Q50" s="60" t="str">
        <x:f>IF(A50="","",SUM(H50:L50,N50:P50))</x:f>
      </x:c>
      <x:c r="R50" s="60" t="str">
        <x:f>IF(OR(E50="",Q50=""),"",E50-Q50)</x:f>
      </x:c>
      <x:c r="S50" s="61" t="str">
        <x:f>IF(OR(E50="",E50=0,R50=""),"",R50/E50)</x:f>
      </x:c>
      <x:c r="T50" s="58" t="str">
        <x:f>IF(A50="","",IF(OR(E50="",H50="",M50=""),"STOP: 未入力",IF(R50&lt;=0,"STOP: 利益なし","要確認")))</x:f>
      </x:c>
      <x:c r="U50" s="62"/>
      <x:c r="V50" s="57"/>
    </x:row>
    <x:row r="51" ht="20" customHeight="1">
      <x:c r="A51" s="57"/>
      <x:c r="B51" s="57"/>
      <x:c r="C51" s="59"/>
      <x:c r="D51" s="59"/>
      <x:c r="E51" s="60" t="str">
        <x:f>IF(OR(C51="",D51=""),"",C51+D51)</x:f>
      </x:c>
      <x:c r="F51" s="57"/>
      <x:c r="G51" s="59"/>
      <x:c r="H51" s="60" t="str">
        <x:f>IF(OR(F51="",G51=""),"",F51*G51)</x:f>
      </x:c>
      <x:c r="I51" s="59"/>
      <x:c r="J51" s="59"/>
      <x:c r="K51" s="59"/>
      <x:c r="L51" s="59"/>
      <x:c r="M51" s="61" t="str">
        <x:f>IF(OR(A51="",'設定'!$B$4=""),"",'設定'!$B$4)</x:f>
      </x:c>
      <x:c r="N51" s="60" t="str">
        <x:f>IF(OR(E51="",M51=""),"",E51*M51)</x:f>
      </x:c>
      <x:c r="O51" s="59"/>
      <x:c r="P51" s="59"/>
      <x:c r="Q51" s="60" t="str">
        <x:f>IF(A51="","",SUM(H51:L51,N51:P51))</x:f>
      </x:c>
      <x:c r="R51" s="60" t="str">
        <x:f>IF(OR(E51="",Q51=""),"",E51-Q51)</x:f>
      </x:c>
      <x:c r="S51" s="61" t="str">
        <x:f>IF(OR(E51="",E51=0,R51=""),"",R51/E51)</x:f>
      </x:c>
      <x:c r="T51" s="58" t="str">
        <x:f>IF(A51="","",IF(OR(E51="",H51="",M51=""),"STOP: 未入力",IF(R51&lt;=0,"STOP: 利益なし","要確認")))</x:f>
      </x:c>
      <x:c r="U51" s="62"/>
      <x:c r="V51" s="57"/>
    </x:row>
    <x:row r="52" ht="20" customHeight="1">
      <x:c r="A52" s="57"/>
      <x:c r="B52" s="57"/>
      <x:c r="C52" s="59"/>
      <x:c r="D52" s="59"/>
      <x:c r="E52" s="60" t="str">
        <x:f>IF(OR(C52="",D52=""),"",C52+D52)</x:f>
      </x:c>
      <x:c r="F52" s="57"/>
      <x:c r="G52" s="59"/>
      <x:c r="H52" s="60" t="str">
        <x:f>IF(OR(F52="",G52=""),"",F52*G52)</x:f>
      </x:c>
      <x:c r="I52" s="59"/>
      <x:c r="J52" s="59"/>
      <x:c r="K52" s="59"/>
      <x:c r="L52" s="59"/>
      <x:c r="M52" s="61" t="str">
        <x:f>IF(OR(A52="",'設定'!$B$4=""),"",'設定'!$B$4)</x:f>
      </x:c>
      <x:c r="N52" s="60" t="str">
        <x:f>IF(OR(E52="",M52=""),"",E52*M52)</x:f>
      </x:c>
      <x:c r="O52" s="59"/>
      <x:c r="P52" s="59"/>
      <x:c r="Q52" s="60" t="str">
        <x:f>IF(A52="","",SUM(H52:L52,N52:P52))</x:f>
      </x:c>
      <x:c r="R52" s="60" t="str">
        <x:f>IF(OR(E52="",Q52=""),"",E52-Q52)</x:f>
      </x:c>
      <x:c r="S52" s="61" t="str">
        <x:f>IF(OR(E52="",E52=0,R52=""),"",R52/E52)</x:f>
      </x:c>
      <x:c r="T52" s="58" t="str">
        <x:f>IF(A52="","",IF(OR(E52="",H52="",M52=""),"STOP: 未入力",IF(R52&lt;=0,"STOP: 利益なし","要確認")))</x:f>
      </x:c>
      <x:c r="U52" s="62"/>
      <x:c r="V52" s="57"/>
    </x:row>
    <x:row r="53" ht="20" customHeight="1">
      <x:c r="A53" s="57"/>
      <x:c r="B53" s="57"/>
      <x:c r="C53" s="59"/>
      <x:c r="D53" s="59"/>
      <x:c r="E53" s="60" t="str">
        <x:f>IF(OR(C53="",D53=""),"",C53+D53)</x:f>
      </x:c>
      <x:c r="F53" s="57"/>
      <x:c r="G53" s="59"/>
      <x:c r="H53" s="60" t="str">
        <x:f>IF(OR(F53="",G53=""),"",F53*G53)</x:f>
      </x:c>
      <x:c r="I53" s="59"/>
      <x:c r="J53" s="59"/>
      <x:c r="K53" s="59"/>
      <x:c r="L53" s="59"/>
      <x:c r="M53" s="61" t="str">
        <x:f>IF(OR(A53="",'設定'!$B$4=""),"",'設定'!$B$4)</x:f>
      </x:c>
      <x:c r="N53" s="60" t="str">
        <x:f>IF(OR(E53="",M53=""),"",E53*M53)</x:f>
      </x:c>
      <x:c r="O53" s="59"/>
      <x:c r="P53" s="59"/>
      <x:c r="Q53" s="60" t="str">
        <x:f>IF(A53="","",SUM(H53:L53,N53:P53))</x:f>
      </x:c>
      <x:c r="R53" s="60" t="str">
        <x:f>IF(OR(E53="",Q53=""),"",E53-Q53)</x:f>
      </x:c>
      <x:c r="S53" s="61" t="str">
        <x:f>IF(OR(E53="",E53=0,R53=""),"",R53/E53)</x:f>
      </x:c>
      <x:c r="T53" s="58" t="str">
        <x:f>IF(A53="","",IF(OR(E53="",H53="",M53=""),"STOP: 未入力",IF(R53&lt;=0,"STOP: 利益なし","要確認")))</x:f>
      </x:c>
      <x:c r="U53" s="62"/>
      <x:c r="V53" s="57"/>
    </x:row>
    <x:row r="54" ht="20" customHeight="1">
      <x:c r="A54" s="57"/>
      <x:c r="B54" s="57"/>
      <x:c r="C54" s="59"/>
      <x:c r="D54" s="59"/>
      <x:c r="E54" s="60" t="str">
        <x:f>IF(OR(C54="",D54=""),"",C54+D54)</x:f>
      </x:c>
      <x:c r="F54" s="57"/>
      <x:c r="G54" s="59"/>
      <x:c r="H54" s="60" t="str">
        <x:f>IF(OR(F54="",G54=""),"",F54*G54)</x:f>
      </x:c>
      <x:c r="I54" s="59"/>
      <x:c r="J54" s="59"/>
      <x:c r="K54" s="59"/>
      <x:c r="L54" s="59"/>
      <x:c r="M54" s="61" t="str">
        <x:f>IF(OR(A54="",'設定'!$B$4=""),"",'設定'!$B$4)</x:f>
      </x:c>
      <x:c r="N54" s="60" t="str">
        <x:f>IF(OR(E54="",M54=""),"",E54*M54)</x:f>
      </x:c>
      <x:c r="O54" s="59"/>
      <x:c r="P54" s="59"/>
      <x:c r="Q54" s="60" t="str">
        <x:f>IF(A54="","",SUM(H54:L54,N54:P54))</x:f>
      </x:c>
      <x:c r="R54" s="60" t="str">
        <x:f>IF(OR(E54="",Q54=""),"",E54-Q54)</x:f>
      </x:c>
      <x:c r="S54" s="61" t="str">
        <x:f>IF(OR(E54="",E54=0,R54=""),"",R54/E54)</x:f>
      </x:c>
      <x:c r="T54" s="58" t="str">
        <x:f>IF(A54="","",IF(OR(E54="",H54="",M54=""),"STOP: 未入力",IF(R54&lt;=0,"STOP: 利益なし","要確認")))</x:f>
      </x:c>
      <x:c r="U54" s="62"/>
      <x:c r="V54" s="57"/>
    </x:row>
    <x:row r="55" ht="20" customHeight="1">
      <x:c r="A55" s="57"/>
      <x:c r="B55" s="57"/>
      <x:c r="C55" s="59"/>
      <x:c r="D55" s="59"/>
      <x:c r="E55" s="60" t="str">
        <x:f>IF(OR(C55="",D55=""),"",C55+D55)</x:f>
      </x:c>
      <x:c r="F55" s="57"/>
      <x:c r="G55" s="59"/>
      <x:c r="H55" s="60" t="str">
        <x:f>IF(OR(F55="",G55=""),"",F55*G55)</x:f>
      </x:c>
      <x:c r="I55" s="59"/>
      <x:c r="J55" s="59"/>
      <x:c r="K55" s="59"/>
      <x:c r="L55" s="59"/>
      <x:c r="M55" s="61" t="str">
        <x:f>IF(OR(A55="",'設定'!$B$4=""),"",'設定'!$B$4)</x:f>
      </x:c>
      <x:c r="N55" s="60" t="str">
        <x:f>IF(OR(E55="",M55=""),"",E55*M55)</x:f>
      </x:c>
      <x:c r="O55" s="59"/>
      <x:c r="P55" s="59"/>
      <x:c r="Q55" s="60" t="str">
        <x:f>IF(A55="","",SUM(H55:L55,N55:P55))</x:f>
      </x:c>
      <x:c r="R55" s="60" t="str">
        <x:f>IF(OR(E55="",Q55=""),"",E55-Q55)</x:f>
      </x:c>
      <x:c r="S55" s="61" t="str">
        <x:f>IF(OR(E55="",E55=0,R55=""),"",R55/E55)</x:f>
      </x:c>
      <x:c r="T55" s="58" t="str">
        <x:f>IF(A55="","",IF(OR(E55="",H55="",M55=""),"STOP: 未入力",IF(R55&lt;=0,"STOP: 利益なし","要確認")))</x:f>
      </x:c>
      <x:c r="U55" s="62"/>
      <x:c r="V55" s="57"/>
    </x:row>
    <x:row r="56" ht="20" customHeight="1">
      <x:c r="A56" s="57"/>
      <x:c r="B56" s="57"/>
      <x:c r="C56" s="59"/>
      <x:c r="D56" s="59"/>
      <x:c r="E56" s="60" t="str">
        <x:f>IF(OR(C56="",D56=""),"",C56+D56)</x:f>
      </x:c>
      <x:c r="F56" s="57"/>
      <x:c r="G56" s="59"/>
      <x:c r="H56" s="60" t="str">
        <x:f>IF(OR(F56="",G56=""),"",F56*G56)</x:f>
      </x:c>
      <x:c r="I56" s="59"/>
      <x:c r="J56" s="59"/>
      <x:c r="K56" s="59"/>
      <x:c r="L56" s="59"/>
      <x:c r="M56" s="61" t="str">
        <x:f>IF(OR(A56="",'設定'!$B$4=""),"",'設定'!$B$4)</x:f>
      </x:c>
      <x:c r="N56" s="60" t="str">
        <x:f>IF(OR(E56="",M56=""),"",E56*M56)</x:f>
      </x:c>
      <x:c r="O56" s="59"/>
      <x:c r="P56" s="59"/>
      <x:c r="Q56" s="60" t="str">
        <x:f>IF(A56="","",SUM(H56:L56,N56:P56))</x:f>
      </x:c>
      <x:c r="R56" s="60" t="str">
        <x:f>IF(OR(E56="",Q56=""),"",E56-Q56)</x:f>
      </x:c>
      <x:c r="S56" s="61" t="str">
        <x:f>IF(OR(E56="",E56=0,R56=""),"",R56/E56)</x:f>
      </x:c>
      <x:c r="T56" s="58" t="str">
        <x:f>IF(A56="","",IF(OR(E56="",H56="",M56=""),"STOP: 未入力",IF(R56&lt;=0,"STOP: 利益なし","要確認")))</x:f>
      </x:c>
      <x:c r="U56" s="62"/>
      <x:c r="V56" s="57"/>
    </x:row>
    <x:row r="57" ht="20" customHeight="1">
      <x:c r="A57" s="57"/>
      <x:c r="B57" s="57"/>
      <x:c r="C57" s="59"/>
      <x:c r="D57" s="59"/>
      <x:c r="E57" s="60" t="str">
        <x:f>IF(OR(C57="",D57=""),"",C57+D57)</x:f>
      </x:c>
      <x:c r="F57" s="57"/>
      <x:c r="G57" s="59"/>
      <x:c r="H57" s="60" t="str">
        <x:f>IF(OR(F57="",G57=""),"",F57*G57)</x:f>
      </x:c>
      <x:c r="I57" s="59"/>
      <x:c r="J57" s="59"/>
      <x:c r="K57" s="59"/>
      <x:c r="L57" s="59"/>
      <x:c r="M57" s="61" t="str">
        <x:f>IF(OR(A57="",'設定'!$B$4=""),"",'設定'!$B$4)</x:f>
      </x:c>
      <x:c r="N57" s="60" t="str">
        <x:f>IF(OR(E57="",M57=""),"",E57*M57)</x:f>
      </x:c>
      <x:c r="O57" s="59"/>
      <x:c r="P57" s="59"/>
      <x:c r="Q57" s="60" t="str">
        <x:f>IF(A57="","",SUM(H57:L57,N57:P57))</x:f>
      </x:c>
      <x:c r="R57" s="60" t="str">
        <x:f>IF(OR(E57="",Q57=""),"",E57-Q57)</x:f>
      </x:c>
      <x:c r="S57" s="61" t="str">
        <x:f>IF(OR(E57="",E57=0,R57=""),"",R57/E57)</x:f>
      </x:c>
      <x:c r="T57" s="58" t="str">
        <x:f>IF(A57="","",IF(OR(E57="",H57="",M57=""),"STOP: 未入力",IF(R57&lt;=0,"STOP: 利益なし","要確認")))</x:f>
      </x:c>
      <x:c r="U57" s="62"/>
      <x:c r="V57" s="57"/>
    </x:row>
    <x:row r="58" ht="20" customHeight="1">
      <x:c r="A58" s="57"/>
      <x:c r="B58" s="57"/>
      <x:c r="C58" s="59"/>
      <x:c r="D58" s="59"/>
      <x:c r="E58" s="60" t="str">
        <x:f>IF(OR(C58="",D58=""),"",C58+D58)</x:f>
      </x:c>
      <x:c r="F58" s="57"/>
      <x:c r="G58" s="59"/>
      <x:c r="H58" s="60" t="str">
        <x:f>IF(OR(F58="",G58=""),"",F58*G58)</x:f>
      </x:c>
      <x:c r="I58" s="59"/>
      <x:c r="J58" s="59"/>
      <x:c r="K58" s="59"/>
      <x:c r="L58" s="59"/>
      <x:c r="M58" s="61" t="str">
        <x:f>IF(OR(A58="",'設定'!$B$4=""),"",'設定'!$B$4)</x:f>
      </x:c>
      <x:c r="N58" s="60" t="str">
        <x:f>IF(OR(E58="",M58=""),"",E58*M58)</x:f>
      </x:c>
      <x:c r="O58" s="59"/>
      <x:c r="P58" s="59"/>
      <x:c r="Q58" s="60" t="str">
        <x:f>IF(A58="","",SUM(H58:L58,N58:P58))</x:f>
      </x:c>
      <x:c r="R58" s="60" t="str">
        <x:f>IF(OR(E58="",Q58=""),"",E58-Q58)</x:f>
      </x:c>
      <x:c r="S58" s="61" t="str">
        <x:f>IF(OR(E58="",E58=0,R58=""),"",R58/E58)</x:f>
      </x:c>
      <x:c r="T58" s="58" t="str">
        <x:f>IF(A58="","",IF(OR(E58="",H58="",M58=""),"STOP: 未入力",IF(R58&lt;=0,"STOP: 利益なし","要確認")))</x:f>
      </x:c>
      <x:c r="U58" s="62"/>
      <x:c r="V58" s="57"/>
    </x:row>
    <x:row r="59" ht="20" customHeight="1">
      <x:c r="A59" s="57"/>
      <x:c r="B59" s="57"/>
      <x:c r="C59" s="59"/>
      <x:c r="D59" s="59"/>
      <x:c r="E59" s="60" t="str">
        <x:f>IF(OR(C59="",D59=""),"",C59+D59)</x:f>
      </x:c>
      <x:c r="F59" s="57"/>
      <x:c r="G59" s="59"/>
      <x:c r="H59" s="60" t="str">
        <x:f>IF(OR(F59="",G59=""),"",F59*G59)</x:f>
      </x:c>
      <x:c r="I59" s="59"/>
      <x:c r="J59" s="59"/>
      <x:c r="K59" s="59"/>
      <x:c r="L59" s="59"/>
      <x:c r="M59" s="61" t="str">
        <x:f>IF(OR(A59="",'設定'!$B$4=""),"",'設定'!$B$4)</x:f>
      </x:c>
      <x:c r="N59" s="60" t="str">
        <x:f>IF(OR(E59="",M59=""),"",E59*M59)</x:f>
      </x:c>
      <x:c r="O59" s="59"/>
      <x:c r="P59" s="59"/>
      <x:c r="Q59" s="60" t="str">
        <x:f>IF(A59="","",SUM(H59:L59,N59:P59))</x:f>
      </x:c>
      <x:c r="R59" s="60" t="str">
        <x:f>IF(OR(E59="",Q59=""),"",E59-Q59)</x:f>
      </x:c>
      <x:c r="S59" s="61" t="str">
        <x:f>IF(OR(E59="",E59=0,R59=""),"",R59/E59)</x:f>
      </x:c>
      <x:c r="T59" s="58" t="str">
        <x:f>IF(A59="","",IF(OR(E59="",H59="",M59=""),"STOP: 未入力",IF(R59&lt;=0,"STOP: 利益なし","要確認")))</x:f>
      </x:c>
      <x:c r="U59" s="62"/>
      <x:c r="V59" s="57"/>
    </x:row>
    <x:row r="60" ht="20" customHeight="1">
      <x:c r="A60" s="57"/>
      <x:c r="B60" s="57"/>
      <x:c r="C60" s="59"/>
      <x:c r="D60" s="59"/>
      <x:c r="E60" s="60" t="str">
        <x:f>IF(OR(C60="",D60=""),"",C60+D60)</x:f>
      </x:c>
      <x:c r="F60" s="57"/>
      <x:c r="G60" s="59"/>
      <x:c r="H60" s="60" t="str">
        <x:f>IF(OR(F60="",G60=""),"",F60*G60)</x:f>
      </x:c>
      <x:c r="I60" s="59"/>
      <x:c r="J60" s="59"/>
      <x:c r="K60" s="59"/>
      <x:c r="L60" s="59"/>
      <x:c r="M60" s="61" t="str">
        <x:f>IF(OR(A60="",'設定'!$B$4=""),"",'設定'!$B$4)</x:f>
      </x:c>
      <x:c r="N60" s="60" t="str">
        <x:f>IF(OR(E60="",M60=""),"",E60*M60)</x:f>
      </x:c>
      <x:c r="O60" s="59"/>
      <x:c r="P60" s="59"/>
      <x:c r="Q60" s="60" t="str">
        <x:f>IF(A60="","",SUM(H60:L60,N60:P60))</x:f>
      </x:c>
      <x:c r="R60" s="60" t="str">
        <x:f>IF(OR(E60="",Q60=""),"",E60-Q60)</x:f>
      </x:c>
      <x:c r="S60" s="61" t="str">
        <x:f>IF(OR(E60="",E60=0,R60=""),"",R60/E60)</x:f>
      </x:c>
      <x:c r="T60" s="58" t="str">
        <x:f>IF(A60="","",IF(OR(E60="",H60="",M60=""),"STOP: 未入力",IF(R60&lt;=0,"STOP: 利益なし","要確認")))</x:f>
      </x:c>
      <x:c r="U60" s="62"/>
      <x:c r="V60" s="57"/>
    </x:row>
    <x:row r="61" ht="20" customHeight="1">
      <x:c r="A61" s="57"/>
      <x:c r="B61" s="57"/>
      <x:c r="C61" s="59"/>
      <x:c r="D61" s="59"/>
      <x:c r="E61" s="60" t="str">
        <x:f>IF(OR(C61="",D61=""),"",C61+D61)</x:f>
      </x:c>
      <x:c r="F61" s="57"/>
      <x:c r="G61" s="59"/>
      <x:c r="H61" s="60" t="str">
        <x:f>IF(OR(F61="",G61=""),"",F61*G61)</x:f>
      </x:c>
      <x:c r="I61" s="59"/>
      <x:c r="J61" s="59"/>
      <x:c r="K61" s="59"/>
      <x:c r="L61" s="59"/>
      <x:c r="M61" s="61" t="str">
        <x:f>IF(OR(A61="",'設定'!$B$4=""),"",'設定'!$B$4)</x:f>
      </x:c>
      <x:c r="N61" s="60" t="str">
        <x:f>IF(OR(E61="",M61=""),"",E61*M61)</x:f>
      </x:c>
      <x:c r="O61" s="59"/>
      <x:c r="P61" s="59"/>
      <x:c r="Q61" s="60" t="str">
        <x:f>IF(A61="","",SUM(H61:L61,N61:P61))</x:f>
      </x:c>
      <x:c r="R61" s="60" t="str">
        <x:f>IF(OR(E61="",Q61=""),"",E61-Q61)</x:f>
      </x:c>
      <x:c r="S61" s="61" t="str">
        <x:f>IF(OR(E61="",E61=0,R61=""),"",R61/E61)</x:f>
      </x:c>
      <x:c r="T61" s="58" t="str">
        <x:f>IF(A61="","",IF(OR(E61="",H61="",M61=""),"STOP: 未入力",IF(R61&lt;=0,"STOP: 利益なし","要確認")))</x:f>
      </x:c>
      <x:c r="U61" s="62"/>
      <x:c r="V61" s="57"/>
    </x:row>
    <x:row r="62" ht="20" customHeight="1">
      <x:c r="A62" s="57"/>
      <x:c r="B62" s="57"/>
      <x:c r="C62" s="59"/>
      <x:c r="D62" s="59"/>
      <x:c r="E62" s="60" t="str">
        <x:f>IF(OR(C62="",D62=""),"",C62+D62)</x:f>
      </x:c>
      <x:c r="F62" s="57"/>
      <x:c r="G62" s="59"/>
      <x:c r="H62" s="60" t="str">
        <x:f>IF(OR(F62="",G62=""),"",F62*G62)</x:f>
      </x:c>
      <x:c r="I62" s="59"/>
      <x:c r="J62" s="59"/>
      <x:c r="K62" s="59"/>
      <x:c r="L62" s="59"/>
      <x:c r="M62" s="61" t="str">
        <x:f>IF(OR(A62="",'設定'!$B$4=""),"",'設定'!$B$4)</x:f>
      </x:c>
      <x:c r="N62" s="60" t="str">
        <x:f>IF(OR(E62="",M62=""),"",E62*M62)</x:f>
      </x:c>
      <x:c r="O62" s="59"/>
      <x:c r="P62" s="59"/>
      <x:c r="Q62" s="60" t="str">
        <x:f>IF(A62="","",SUM(H62:L62,N62:P62))</x:f>
      </x:c>
      <x:c r="R62" s="60" t="str">
        <x:f>IF(OR(E62="",Q62=""),"",E62-Q62)</x:f>
      </x:c>
      <x:c r="S62" s="61" t="str">
        <x:f>IF(OR(E62="",E62=0,R62=""),"",R62/E62)</x:f>
      </x:c>
      <x:c r="T62" s="58" t="str">
        <x:f>IF(A62="","",IF(OR(E62="",H62="",M62=""),"STOP: 未入力",IF(R62&lt;=0,"STOP: 利益なし","要確認")))</x:f>
      </x:c>
      <x:c r="U62" s="62"/>
      <x:c r="V62" s="57"/>
    </x:row>
    <x:row r="63" ht="20" customHeight="1">
      <x:c r="A63" s="57"/>
      <x:c r="B63" s="57"/>
      <x:c r="C63" s="59"/>
      <x:c r="D63" s="59"/>
      <x:c r="E63" s="60" t="str">
        <x:f>IF(OR(C63="",D63=""),"",C63+D63)</x:f>
      </x:c>
      <x:c r="F63" s="57"/>
      <x:c r="G63" s="59"/>
      <x:c r="H63" s="60" t="str">
        <x:f>IF(OR(F63="",G63=""),"",F63*G63)</x:f>
      </x:c>
      <x:c r="I63" s="59"/>
      <x:c r="J63" s="59"/>
      <x:c r="K63" s="59"/>
      <x:c r="L63" s="59"/>
      <x:c r="M63" s="61" t="str">
        <x:f>IF(OR(A63="",'設定'!$B$4=""),"",'設定'!$B$4)</x:f>
      </x:c>
      <x:c r="N63" s="60" t="str">
        <x:f>IF(OR(E63="",M63=""),"",E63*M63)</x:f>
      </x:c>
      <x:c r="O63" s="59"/>
      <x:c r="P63" s="59"/>
      <x:c r="Q63" s="60" t="str">
        <x:f>IF(A63="","",SUM(H63:L63,N63:P63))</x:f>
      </x:c>
      <x:c r="R63" s="60" t="str">
        <x:f>IF(OR(E63="",Q63=""),"",E63-Q63)</x:f>
      </x:c>
      <x:c r="S63" s="61" t="str">
        <x:f>IF(OR(E63="",E63=0,R63=""),"",R63/E63)</x:f>
      </x:c>
      <x:c r="T63" s="58" t="str">
        <x:f>IF(A63="","",IF(OR(E63="",H63="",M63=""),"STOP: 未入力",IF(R63&lt;=0,"STOP: 利益なし","要確認")))</x:f>
      </x:c>
      <x:c r="U63" s="62"/>
      <x:c r="V63" s="57"/>
    </x:row>
    <x:row r="64" ht="20" customHeight="1">
      <x:c r="A64" s="57"/>
      <x:c r="B64" s="57"/>
      <x:c r="C64" s="59"/>
      <x:c r="D64" s="59"/>
      <x:c r="E64" s="60" t="str">
        <x:f>IF(OR(C64="",D64=""),"",C64+D64)</x:f>
      </x:c>
      <x:c r="F64" s="57"/>
      <x:c r="G64" s="59"/>
      <x:c r="H64" s="60" t="str">
        <x:f>IF(OR(F64="",G64=""),"",F64*G64)</x:f>
      </x:c>
      <x:c r="I64" s="59"/>
      <x:c r="J64" s="59"/>
      <x:c r="K64" s="59"/>
      <x:c r="L64" s="59"/>
      <x:c r="M64" s="61" t="str">
        <x:f>IF(OR(A64="",'設定'!$B$4=""),"",'設定'!$B$4)</x:f>
      </x:c>
      <x:c r="N64" s="60" t="str">
        <x:f>IF(OR(E64="",M64=""),"",E64*M64)</x:f>
      </x:c>
      <x:c r="O64" s="59"/>
      <x:c r="P64" s="59"/>
      <x:c r="Q64" s="60" t="str">
        <x:f>IF(A64="","",SUM(H64:L64,N64:P64))</x:f>
      </x:c>
      <x:c r="R64" s="60" t="str">
        <x:f>IF(OR(E64="",Q64=""),"",E64-Q64)</x:f>
      </x:c>
      <x:c r="S64" s="61" t="str">
        <x:f>IF(OR(E64="",E64=0,R64=""),"",R64/E64)</x:f>
      </x:c>
      <x:c r="T64" s="58" t="str">
        <x:f>IF(A64="","",IF(OR(E64="",H64="",M64=""),"STOP: 未入力",IF(R64&lt;=0,"STOP: 利益なし","要確認")))</x:f>
      </x:c>
      <x:c r="U64" s="62"/>
      <x:c r="V64" s="57"/>
    </x:row>
    <x:row r="65" ht="20" customHeight="1">
      <x:c r="A65" s="57"/>
      <x:c r="B65" s="57"/>
      <x:c r="C65" s="59"/>
      <x:c r="D65" s="59"/>
      <x:c r="E65" s="60" t="str">
        <x:f>IF(OR(C65="",D65=""),"",C65+D65)</x:f>
      </x:c>
      <x:c r="F65" s="57"/>
      <x:c r="G65" s="59"/>
      <x:c r="H65" s="60" t="str">
        <x:f>IF(OR(F65="",G65=""),"",F65*G65)</x:f>
      </x:c>
      <x:c r="I65" s="59"/>
      <x:c r="J65" s="59"/>
      <x:c r="K65" s="59"/>
      <x:c r="L65" s="59"/>
      <x:c r="M65" s="61" t="str">
        <x:f>IF(OR(A65="",'設定'!$B$4=""),"",'設定'!$B$4)</x:f>
      </x:c>
      <x:c r="N65" s="60" t="str">
        <x:f>IF(OR(E65="",M65=""),"",E65*M65)</x:f>
      </x:c>
      <x:c r="O65" s="59"/>
      <x:c r="P65" s="59"/>
      <x:c r="Q65" s="60" t="str">
        <x:f>IF(A65="","",SUM(H65:L65,N65:P65))</x:f>
      </x:c>
      <x:c r="R65" s="60" t="str">
        <x:f>IF(OR(E65="",Q65=""),"",E65-Q65)</x:f>
      </x:c>
      <x:c r="S65" s="61" t="str">
        <x:f>IF(OR(E65="",E65=0,R65=""),"",R65/E65)</x:f>
      </x:c>
      <x:c r="T65" s="58" t="str">
        <x:f>IF(A65="","",IF(OR(E65="",H65="",M65=""),"STOP: 未入力",IF(R65&lt;=0,"STOP: 利益なし","要確認")))</x:f>
      </x:c>
      <x:c r="U65" s="62"/>
      <x:c r="V65" s="57"/>
    </x:row>
    <x:row r="66" ht="20" customHeight="1">
      <x:c r="A66" s="57"/>
      <x:c r="B66" s="57"/>
      <x:c r="C66" s="59"/>
      <x:c r="D66" s="59"/>
      <x:c r="E66" s="60" t="str">
        <x:f>IF(OR(C66="",D66=""),"",C66+D66)</x:f>
      </x:c>
      <x:c r="F66" s="57"/>
      <x:c r="G66" s="59"/>
      <x:c r="H66" s="60" t="str">
        <x:f>IF(OR(F66="",G66=""),"",F66*G66)</x:f>
      </x:c>
      <x:c r="I66" s="59"/>
      <x:c r="J66" s="59"/>
      <x:c r="K66" s="59"/>
      <x:c r="L66" s="59"/>
      <x:c r="M66" s="61" t="str">
        <x:f>IF(OR(A66="",'設定'!$B$4=""),"",'設定'!$B$4)</x:f>
      </x:c>
      <x:c r="N66" s="60" t="str">
        <x:f>IF(OR(E66="",M66=""),"",E66*M66)</x:f>
      </x:c>
      <x:c r="O66" s="59"/>
      <x:c r="P66" s="59"/>
      <x:c r="Q66" s="60" t="str">
        <x:f>IF(A66="","",SUM(H66:L66,N66:P66))</x:f>
      </x:c>
      <x:c r="R66" s="60" t="str">
        <x:f>IF(OR(E66="",Q66=""),"",E66-Q66)</x:f>
      </x:c>
      <x:c r="S66" s="61" t="str">
        <x:f>IF(OR(E66="",E66=0,R66=""),"",R66/E66)</x:f>
      </x:c>
      <x:c r="T66" s="58" t="str">
        <x:f>IF(A66="","",IF(OR(E66="",H66="",M66=""),"STOP: 未入力",IF(R66&lt;=0,"STOP: 利益なし","要確認")))</x:f>
      </x:c>
      <x:c r="U66" s="62"/>
      <x:c r="V66" s="57"/>
    </x:row>
    <x:row r="67" ht="20" customHeight="1">
      <x:c r="A67" s="57"/>
      <x:c r="B67" s="57"/>
      <x:c r="C67" s="59"/>
      <x:c r="D67" s="59"/>
      <x:c r="E67" s="60" t="str">
        <x:f>IF(OR(C67="",D67=""),"",C67+D67)</x:f>
      </x:c>
      <x:c r="F67" s="57"/>
      <x:c r="G67" s="59"/>
      <x:c r="H67" s="60" t="str">
        <x:f>IF(OR(F67="",G67=""),"",F67*G67)</x:f>
      </x:c>
      <x:c r="I67" s="59"/>
      <x:c r="J67" s="59"/>
      <x:c r="K67" s="59"/>
      <x:c r="L67" s="59"/>
      <x:c r="M67" s="61" t="str">
        <x:f>IF(OR(A67="",'設定'!$B$4=""),"",'設定'!$B$4)</x:f>
      </x:c>
      <x:c r="N67" s="60" t="str">
        <x:f>IF(OR(E67="",M67=""),"",E67*M67)</x:f>
      </x:c>
      <x:c r="O67" s="59"/>
      <x:c r="P67" s="59"/>
      <x:c r="Q67" s="60" t="str">
        <x:f>IF(A67="","",SUM(H67:L67,N67:P67))</x:f>
      </x:c>
      <x:c r="R67" s="60" t="str">
        <x:f>IF(OR(E67="",Q67=""),"",E67-Q67)</x:f>
      </x:c>
      <x:c r="S67" s="61" t="str">
        <x:f>IF(OR(E67="",E67=0,R67=""),"",R67/E67)</x:f>
      </x:c>
      <x:c r="T67" s="58" t="str">
        <x:f>IF(A67="","",IF(OR(E67="",H67="",M67=""),"STOP: 未入力",IF(R67&lt;=0,"STOP: 利益なし","要確認")))</x:f>
      </x:c>
      <x:c r="U67" s="62"/>
      <x:c r="V67" s="57"/>
    </x:row>
    <x:row r="68" ht="20" customHeight="1">
      <x:c r="A68" s="57"/>
      <x:c r="B68" s="57"/>
      <x:c r="C68" s="59"/>
      <x:c r="D68" s="59"/>
      <x:c r="E68" s="60" t="str">
        <x:f>IF(OR(C68="",D68=""),"",C68+D68)</x:f>
      </x:c>
      <x:c r="F68" s="57"/>
      <x:c r="G68" s="59"/>
      <x:c r="H68" s="60" t="str">
        <x:f>IF(OR(F68="",G68=""),"",F68*G68)</x:f>
      </x:c>
      <x:c r="I68" s="59"/>
      <x:c r="J68" s="59"/>
      <x:c r="K68" s="59"/>
      <x:c r="L68" s="59"/>
      <x:c r="M68" s="61" t="str">
        <x:f>IF(OR(A68="",'設定'!$B$4=""),"",'設定'!$B$4)</x:f>
      </x:c>
      <x:c r="N68" s="60" t="str">
        <x:f>IF(OR(E68="",M68=""),"",E68*M68)</x:f>
      </x:c>
      <x:c r="O68" s="59"/>
      <x:c r="P68" s="59"/>
      <x:c r="Q68" s="60" t="str">
        <x:f>IF(A68="","",SUM(H68:L68,N68:P68))</x:f>
      </x:c>
      <x:c r="R68" s="60" t="str">
        <x:f>IF(OR(E68="",Q68=""),"",E68-Q68)</x:f>
      </x:c>
      <x:c r="S68" s="61" t="str">
        <x:f>IF(OR(E68="",E68=0,R68=""),"",R68/E68)</x:f>
      </x:c>
      <x:c r="T68" s="58" t="str">
        <x:f>IF(A68="","",IF(OR(E68="",H68="",M68=""),"STOP: 未入力",IF(R68&lt;=0,"STOP: 利益なし","要確認")))</x:f>
      </x:c>
      <x:c r="U68" s="62"/>
      <x:c r="V68" s="57"/>
    </x:row>
    <x:row r="69" ht="20" customHeight="1">
      <x:c r="A69" s="57"/>
      <x:c r="B69" s="57"/>
      <x:c r="C69" s="59"/>
      <x:c r="D69" s="59"/>
      <x:c r="E69" s="60" t="str">
        <x:f>IF(OR(C69="",D69=""),"",C69+D69)</x:f>
      </x:c>
      <x:c r="F69" s="57"/>
      <x:c r="G69" s="59"/>
      <x:c r="H69" s="60" t="str">
        <x:f>IF(OR(F69="",G69=""),"",F69*G69)</x:f>
      </x:c>
      <x:c r="I69" s="59"/>
      <x:c r="J69" s="59"/>
      <x:c r="K69" s="59"/>
      <x:c r="L69" s="59"/>
      <x:c r="M69" s="61" t="str">
        <x:f>IF(OR(A69="",'設定'!$B$4=""),"",'設定'!$B$4)</x:f>
      </x:c>
      <x:c r="N69" s="60" t="str">
        <x:f>IF(OR(E69="",M69=""),"",E69*M69)</x:f>
      </x:c>
      <x:c r="O69" s="59"/>
      <x:c r="P69" s="59"/>
      <x:c r="Q69" s="60" t="str">
        <x:f>IF(A69="","",SUM(H69:L69,N69:P69))</x:f>
      </x:c>
      <x:c r="R69" s="60" t="str">
        <x:f>IF(OR(E69="",Q69=""),"",E69-Q69)</x:f>
      </x:c>
      <x:c r="S69" s="61" t="str">
        <x:f>IF(OR(E69="",E69=0,R69=""),"",R69/E69)</x:f>
      </x:c>
      <x:c r="T69" s="58" t="str">
        <x:f>IF(A69="","",IF(OR(E69="",H69="",M69=""),"STOP: 未入力",IF(R69&lt;=0,"STOP: 利益なし","要確認")))</x:f>
      </x:c>
      <x:c r="U69" s="62"/>
      <x:c r="V69" s="57"/>
    </x:row>
    <x:row r="70" ht="20" customHeight="1">
      <x:c r="A70" s="57"/>
      <x:c r="B70" s="57"/>
      <x:c r="C70" s="59"/>
      <x:c r="D70" s="59"/>
      <x:c r="E70" s="60" t="str">
        <x:f>IF(OR(C70="",D70=""),"",C70+D70)</x:f>
      </x:c>
      <x:c r="F70" s="57"/>
      <x:c r="G70" s="59"/>
      <x:c r="H70" s="60" t="str">
        <x:f>IF(OR(F70="",G70=""),"",F70*G70)</x:f>
      </x:c>
      <x:c r="I70" s="59"/>
      <x:c r="J70" s="59"/>
      <x:c r="K70" s="59"/>
      <x:c r="L70" s="59"/>
      <x:c r="M70" s="61" t="str">
        <x:f>IF(OR(A70="",'設定'!$B$4=""),"",'設定'!$B$4)</x:f>
      </x:c>
      <x:c r="N70" s="60" t="str">
        <x:f>IF(OR(E70="",M70=""),"",E70*M70)</x:f>
      </x:c>
      <x:c r="O70" s="59"/>
      <x:c r="P70" s="59"/>
      <x:c r="Q70" s="60" t="str">
        <x:f>IF(A70="","",SUM(H70:L70,N70:P70))</x:f>
      </x:c>
      <x:c r="R70" s="60" t="str">
        <x:f>IF(OR(E70="",Q70=""),"",E70-Q70)</x:f>
      </x:c>
      <x:c r="S70" s="61" t="str">
        <x:f>IF(OR(E70="",E70=0,R70=""),"",R70/E70)</x:f>
      </x:c>
      <x:c r="T70" s="58" t="str">
        <x:f>IF(A70="","",IF(OR(E70="",H70="",M70=""),"STOP: 未入力",IF(R70&lt;=0,"STOP: 利益なし","要確認")))</x:f>
      </x:c>
      <x:c r="U70" s="62"/>
      <x:c r="V70" s="57"/>
    </x:row>
    <x:row r="71" ht="20" customHeight="1">
      <x:c r="A71" s="57"/>
      <x:c r="B71" s="57"/>
      <x:c r="C71" s="59"/>
      <x:c r="D71" s="59"/>
      <x:c r="E71" s="60" t="str">
        <x:f>IF(OR(C71="",D71=""),"",C71+D71)</x:f>
      </x:c>
      <x:c r="F71" s="57"/>
      <x:c r="G71" s="59"/>
      <x:c r="H71" s="60" t="str">
        <x:f>IF(OR(F71="",G71=""),"",F71*G71)</x:f>
      </x:c>
      <x:c r="I71" s="59"/>
      <x:c r="J71" s="59"/>
      <x:c r="K71" s="59"/>
      <x:c r="L71" s="59"/>
      <x:c r="M71" s="61" t="str">
        <x:f>IF(OR(A71="",'設定'!$B$4=""),"",'設定'!$B$4)</x:f>
      </x:c>
      <x:c r="N71" s="60" t="str">
        <x:f>IF(OR(E71="",M71=""),"",E71*M71)</x:f>
      </x:c>
      <x:c r="O71" s="59"/>
      <x:c r="P71" s="59"/>
      <x:c r="Q71" s="60" t="str">
        <x:f>IF(A71="","",SUM(H71:L71,N71:P71))</x:f>
      </x:c>
      <x:c r="R71" s="60" t="str">
        <x:f>IF(OR(E71="",Q71=""),"",E71-Q71)</x:f>
      </x:c>
      <x:c r="S71" s="61" t="str">
        <x:f>IF(OR(E71="",E71=0,R71=""),"",R71/E71)</x:f>
      </x:c>
      <x:c r="T71" s="58" t="str">
        <x:f>IF(A71="","",IF(OR(E71="",H71="",M71=""),"STOP: 未入力",IF(R71&lt;=0,"STOP: 利益なし","要確認")))</x:f>
      </x:c>
      <x:c r="U71" s="62"/>
      <x:c r="V71" s="57"/>
    </x:row>
    <x:row r="72" ht="20" customHeight="1">
      <x:c r="A72" s="57"/>
      <x:c r="B72" s="57"/>
      <x:c r="C72" s="59"/>
      <x:c r="D72" s="59"/>
      <x:c r="E72" s="60" t="str">
        <x:f>IF(OR(C72="",D72=""),"",C72+D72)</x:f>
      </x:c>
      <x:c r="F72" s="57"/>
      <x:c r="G72" s="59"/>
      <x:c r="H72" s="60" t="str">
        <x:f>IF(OR(F72="",G72=""),"",F72*G72)</x:f>
      </x:c>
      <x:c r="I72" s="59"/>
      <x:c r="J72" s="59"/>
      <x:c r="K72" s="59"/>
      <x:c r="L72" s="59"/>
      <x:c r="M72" s="61" t="str">
        <x:f>IF(OR(A72="",'設定'!$B$4=""),"",'設定'!$B$4)</x:f>
      </x:c>
      <x:c r="N72" s="60" t="str">
        <x:f>IF(OR(E72="",M72=""),"",E72*M72)</x:f>
      </x:c>
      <x:c r="O72" s="59"/>
      <x:c r="P72" s="59"/>
      <x:c r="Q72" s="60" t="str">
        <x:f>IF(A72="","",SUM(H72:L72,N72:P72))</x:f>
      </x:c>
      <x:c r="R72" s="60" t="str">
        <x:f>IF(OR(E72="",Q72=""),"",E72-Q72)</x:f>
      </x:c>
      <x:c r="S72" s="61" t="str">
        <x:f>IF(OR(E72="",E72=0,R72=""),"",R72/E72)</x:f>
      </x:c>
      <x:c r="T72" s="58" t="str">
        <x:f>IF(A72="","",IF(OR(E72="",H72="",M72=""),"STOP: 未入力",IF(R72&lt;=0,"STOP: 利益なし","要確認")))</x:f>
      </x:c>
      <x:c r="U72" s="62"/>
      <x:c r="V72" s="57"/>
    </x:row>
    <x:row r="73" ht="20" customHeight="1">
      <x:c r="A73" s="57"/>
      <x:c r="B73" s="57"/>
      <x:c r="C73" s="59"/>
      <x:c r="D73" s="59"/>
      <x:c r="E73" s="60" t="str">
        <x:f>IF(OR(C73="",D73=""),"",C73+D73)</x:f>
      </x:c>
      <x:c r="F73" s="57"/>
      <x:c r="G73" s="59"/>
      <x:c r="H73" s="60" t="str">
        <x:f>IF(OR(F73="",G73=""),"",F73*G73)</x:f>
      </x:c>
      <x:c r="I73" s="59"/>
      <x:c r="J73" s="59"/>
      <x:c r="K73" s="59"/>
      <x:c r="L73" s="59"/>
      <x:c r="M73" s="61" t="str">
        <x:f>IF(OR(A73="",'設定'!$B$4=""),"",'設定'!$B$4)</x:f>
      </x:c>
      <x:c r="N73" s="60" t="str">
        <x:f>IF(OR(E73="",M73=""),"",E73*M73)</x:f>
      </x:c>
      <x:c r="O73" s="59"/>
      <x:c r="P73" s="59"/>
      <x:c r="Q73" s="60" t="str">
        <x:f>IF(A73="","",SUM(H73:L73,N73:P73))</x:f>
      </x:c>
      <x:c r="R73" s="60" t="str">
        <x:f>IF(OR(E73="",Q73=""),"",E73-Q73)</x:f>
      </x:c>
      <x:c r="S73" s="61" t="str">
        <x:f>IF(OR(E73="",E73=0,R73=""),"",R73/E73)</x:f>
      </x:c>
      <x:c r="T73" s="58" t="str">
        <x:f>IF(A73="","",IF(OR(E73="",H73="",M73=""),"STOP: 未入力",IF(R73&lt;=0,"STOP: 利益なし","要確認")))</x:f>
      </x:c>
      <x:c r="U73" s="62"/>
      <x:c r="V73" s="57"/>
    </x:row>
    <x:row r="74" ht="20" customHeight="1">
      <x:c r="A74" s="57"/>
      <x:c r="B74" s="57"/>
      <x:c r="C74" s="59"/>
      <x:c r="D74" s="59"/>
      <x:c r="E74" s="60" t="str">
        <x:f>IF(OR(C74="",D74=""),"",C74+D74)</x:f>
      </x:c>
      <x:c r="F74" s="57"/>
      <x:c r="G74" s="59"/>
      <x:c r="H74" s="60" t="str">
        <x:f>IF(OR(F74="",G74=""),"",F74*G74)</x:f>
      </x:c>
      <x:c r="I74" s="59"/>
      <x:c r="J74" s="59"/>
      <x:c r="K74" s="59"/>
      <x:c r="L74" s="59"/>
      <x:c r="M74" s="61" t="str">
        <x:f>IF(OR(A74="",'設定'!$B$4=""),"",'設定'!$B$4)</x:f>
      </x:c>
      <x:c r="N74" s="60" t="str">
        <x:f>IF(OR(E74="",M74=""),"",E74*M74)</x:f>
      </x:c>
      <x:c r="O74" s="59"/>
      <x:c r="P74" s="59"/>
      <x:c r="Q74" s="60" t="str">
        <x:f>IF(A74="","",SUM(H74:L74,N74:P74))</x:f>
      </x:c>
      <x:c r="R74" s="60" t="str">
        <x:f>IF(OR(E74="",Q74=""),"",E74-Q74)</x:f>
      </x:c>
      <x:c r="S74" s="61" t="str">
        <x:f>IF(OR(E74="",E74=0,R74=""),"",R74/E74)</x:f>
      </x:c>
      <x:c r="T74" s="58" t="str">
        <x:f>IF(A74="","",IF(OR(E74="",H74="",M74=""),"STOP: 未入力",IF(R74&lt;=0,"STOP: 利益なし","要確認")))</x:f>
      </x:c>
      <x:c r="U74" s="62"/>
      <x:c r="V74" s="57"/>
    </x:row>
    <x:row r="75" ht="20" customHeight="1">
      <x:c r="A75" s="57"/>
      <x:c r="B75" s="57"/>
      <x:c r="C75" s="59"/>
      <x:c r="D75" s="59"/>
      <x:c r="E75" s="60" t="str">
        <x:f>IF(OR(C75="",D75=""),"",C75+D75)</x:f>
      </x:c>
      <x:c r="F75" s="57"/>
      <x:c r="G75" s="59"/>
      <x:c r="H75" s="60" t="str">
        <x:f>IF(OR(F75="",G75=""),"",F75*G75)</x:f>
      </x:c>
      <x:c r="I75" s="59"/>
      <x:c r="J75" s="59"/>
      <x:c r="K75" s="59"/>
      <x:c r="L75" s="59"/>
      <x:c r="M75" s="61" t="str">
        <x:f>IF(OR(A75="",'設定'!$B$4=""),"",'設定'!$B$4)</x:f>
      </x:c>
      <x:c r="N75" s="60" t="str">
        <x:f>IF(OR(E75="",M75=""),"",E75*M75)</x:f>
      </x:c>
      <x:c r="O75" s="59"/>
      <x:c r="P75" s="59"/>
      <x:c r="Q75" s="60" t="str">
        <x:f>IF(A75="","",SUM(H75:L75,N75:P75))</x:f>
      </x:c>
      <x:c r="R75" s="60" t="str">
        <x:f>IF(OR(E75="",Q75=""),"",E75-Q75)</x:f>
      </x:c>
      <x:c r="S75" s="61" t="str">
        <x:f>IF(OR(E75="",E75=0,R75=""),"",R75/E75)</x:f>
      </x:c>
      <x:c r="T75" s="58" t="str">
        <x:f>IF(A75="","",IF(OR(E75="",H75="",M75=""),"STOP: 未入力",IF(R75&lt;=0,"STOP: 利益なし","要確認")))</x:f>
      </x:c>
      <x:c r="U75" s="62"/>
      <x:c r="V75" s="57"/>
    </x:row>
    <x:row r="76" ht="20" customHeight="1">
      <x:c r="A76" s="57"/>
      <x:c r="B76" s="57"/>
      <x:c r="C76" s="59"/>
      <x:c r="D76" s="59"/>
      <x:c r="E76" s="60" t="str">
        <x:f>IF(OR(C76="",D76=""),"",C76+D76)</x:f>
      </x:c>
      <x:c r="F76" s="57"/>
      <x:c r="G76" s="59"/>
      <x:c r="H76" s="60" t="str">
        <x:f>IF(OR(F76="",G76=""),"",F76*G76)</x:f>
      </x:c>
      <x:c r="I76" s="59"/>
      <x:c r="J76" s="59"/>
      <x:c r="K76" s="59"/>
      <x:c r="L76" s="59"/>
      <x:c r="M76" s="61" t="str">
        <x:f>IF(OR(A76="",'設定'!$B$4=""),"",'設定'!$B$4)</x:f>
      </x:c>
      <x:c r="N76" s="60" t="str">
        <x:f>IF(OR(E76="",M76=""),"",E76*M76)</x:f>
      </x:c>
      <x:c r="O76" s="59"/>
      <x:c r="P76" s="59"/>
      <x:c r="Q76" s="60" t="str">
        <x:f>IF(A76="","",SUM(H76:L76,N76:P76))</x:f>
      </x:c>
      <x:c r="R76" s="60" t="str">
        <x:f>IF(OR(E76="",Q76=""),"",E76-Q76)</x:f>
      </x:c>
      <x:c r="S76" s="61" t="str">
        <x:f>IF(OR(E76="",E76=0,R76=""),"",R76/E76)</x:f>
      </x:c>
      <x:c r="T76" s="58" t="str">
        <x:f>IF(A76="","",IF(OR(E76="",H76="",M76=""),"STOP: 未入力",IF(R76&lt;=0,"STOP: 利益なし","要確認")))</x:f>
      </x:c>
      <x:c r="U76" s="62"/>
      <x:c r="V76" s="57"/>
    </x:row>
    <x:row r="77" ht="20" customHeight="1">
      <x:c r="A77" s="57"/>
      <x:c r="B77" s="57"/>
      <x:c r="C77" s="59"/>
      <x:c r="D77" s="59"/>
      <x:c r="E77" s="60" t="str">
        <x:f>IF(OR(C77="",D77=""),"",C77+D77)</x:f>
      </x:c>
      <x:c r="F77" s="57"/>
      <x:c r="G77" s="59"/>
      <x:c r="H77" s="60" t="str">
        <x:f>IF(OR(F77="",G77=""),"",F77*G77)</x:f>
      </x:c>
      <x:c r="I77" s="59"/>
      <x:c r="J77" s="59"/>
      <x:c r="K77" s="59"/>
      <x:c r="L77" s="59"/>
      <x:c r="M77" s="61" t="str">
        <x:f>IF(OR(A77="",'設定'!$B$4=""),"",'設定'!$B$4)</x:f>
      </x:c>
      <x:c r="N77" s="60" t="str">
        <x:f>IF(OR(E77="",M77=""),"",E77*M77)</x:f>
      </x:c>
      <x:c r="O77" s="59"/>
      <x:c r="P77" s="59"/>
      <x:c r="Q77" s="60" t="str">
        <x:f>IF(A77="","",SUM(H77:L77,N77:P77))</x:f>
      </x:c>
      <x:c r="R77" s="60" t="str">
        <x:f>IF(OR(E77="",Q77=""),"",E77-Q77)</x:f>
      </x:c>
      <x:c r="S77" s="61" t="str">
        <x:f>IF(OR(E77="",E77=0,R77=""),"",R77/E77)</x:f>
      </x:c>
      <x:c r="T77" s="58" t="str">
        <x:f>IF(A77="","",IF(OR(E77="",H77="",M77=""),"STOP: 未入力",IF(R77&lt;=0,"STOP: 利益なし","要確認")))</x:f>
      </x:c>
      <x:c r="U77" s="62"/>
      <x:c r="V77" s="57"/>
    </x:row>
    <x:row r="78" ht="20" customHeight="1">
      <x:c r="A78" s="57"/>
      <x:c r="B78" s="57"/>
      <x:c r="C78" s="59"/>
      <x:c r="D78" s="59"/>
      <x:c r="E78" s="60" t="str">
        <x:f>IF(OR(C78="",D78=""),"",C78+D78)</x:f>
      </x:c>
      <x:c r="F78" s="57"/>
      <x:c r="G78" s="59"/>
      <x:c r="H78" s="60" t="str">
        <x:f>IF(OR(F78="",G78=""),"",F78*G78)</x:f>
      </x:c>
      <x:c r="I78" s="59"/>
      <x:c r="J78" s="59"/>
      <x:c r="K78" s="59"/>
      <x:c r="L78" s="59"/>
      <x:c r="M78" s="61" t="str">
        <x:f>IF(OR(A78="",'設定'!$B$4=""),"",'設定'!$B$4)</x:f>
      </x:c>
      <x:c r="N78" s="60" t="str">
        <x:f>IF(OR(E78="",M78=""),"",E78*M78)</x:f>
      </x:c>
      <x:c r="O78" s="59"/>
      <x:c r="P78" s="59"/>
      <x:c r="Q78" s="60" t="str">
        <x:f>IF(A78="","",SUM(H78:L78,N78:P78))</x:f>
      </x:c>
      <x:c r="R78" s="60" t="str">
        <x:f>IF(OR(E78="",Q78=""),"",E78-Q78)</x:f>
      </x:c>
      <x:c r="S78" s="61" t="str">
        <x:f>IF(OR(E78="",E78=0,R78=""),"",R78/E78)</x:f>
      </x:c>
      <x:c r="T78" s="58" t="str">
        <x:f>IF(A78="","",IF(OR(E78="",H78="",M78=""),"STOP: 未入力",IF(R78&lt;=0,"STOP: 利益なし","要確認")))</x:f>
      </x:c>
      <x:c r="U78" s="62"/>
      <x:c r="V78" s="57"/>
    </x:row>
    <x:row r="79" ht="20" customHeight="1">
      <x:c r="A79" s="57"/>
      <x:c r="B79" s="57"/>
      <x:c r="C79" s="59"/>
      <x:c r="D79" s="59"/>
      <x:c r="E79" s="60" t="str">
        <x:f>IF(OR(C79="",D79=""),"",C79+D79)</x:f>
      </x:c>
      <x:c r="F79" s="57"/>
      <x:c r="G79" s="59"/>
      <x:c r="H79" s="60" t="str">
        <x:f>IF(OR(F79="",G79=""),"",F79*G79)</x:f>
      </x:c>
      <x:c r="I79" s="59"/>
      <x:c r="J79" s="59"/>
      <x:c r="K79" s="59"/>
      <x:c r="L79" s="59"/>
      <x:c r="M79" s="61" t="str">
        <x:f>IF(OR(A79="",'設定'!$B$4=""),"",'設定'!$B$4)</x:f>
      </x:c>
      <x:c r="N79" s="60" t="str">
        <x:f>IF(OR(E79="",M79=""),"",E79*M79)</x:f>
      </x:c>
      <x:c r="O79" s="59"/>
      <x:c r="P79" s="59"/>
      <x:c r="Q79" s="60" t="str">
        <x:f>IF(A79="","",SUM(H79:L79,N79:P79))</x:f>
      </x:c>
      <x:c r="R79" s="60" t="str">
        <x:f>IF(OR(E79="",Q79=""),"",E79-Q79)</x:f>
      </x:c>
      <x:c r="S79" s="61" t="str">
        <x:f>IF(OR(E79="",E79=0,R79=""),"",R79/E79)</x:f>
      </x:c>
      <x:c r="T79" s="58" t="str">
        <x:f>IF(A79="","",IF(OR(E79="",H79="",M79=""),"STOP: 未入力",IF(R79&lt;=0,"STOP: 利益なし","要確認")))</x:f>
      </x:c>
      <x:c r="U79" s="62"/>
      <x:c r="V79" s="57"/>
    </x:row>
    <x:row r="80" ht="20" customHeight="1">
      <x:c r="A80" s="57"/>
      <x:c r="B80" s="57"/>
      <x:c r="C80" s="59"/>
      <x:c r="D80" s="59"/>
      <x:c r="E80" s="60" t="str">
        <x:f>IF(OR(C80="",D80=""),"",C80+D80)</x:f>
      </x:c>
      <x:c r="F80" s="57"/>
      <x:c r="G80" s="59"/>
      <x:c r="H80" s="60" t="str">
        <x:f>IF(OR(F80="",G80=""),"",F80*G80)</x:f>
      </x:c>
      <x:c r="I80" s="59"/>
      <x:c r="J80" s="59"/>
      <x:c r="K80" s="59"/>
      <x:c r="L80" s="59"/>
      <x:c r="M80" s="61" t="str">
        <x:f>IF(OR(A80="",'設定'!$B$4=""),"",'設定'!$B$4)</x:f>
      </x:c>
      <x:c r="N80" s="60" t="str">
        <x:f>IF(OR(E80="",M80=""),"",E80*M80)</x:f>
      </x:c>
      <x:c r="O80" s="59"/>
      <x:c r="P80" s="59"/>
      <x:c r="Q80" s="60" t="str">
        <x:f>IF(A80="","",SUM(H80:L80,N80:P80))</x:f>
      </x:c>
      <x:c r="R80" s="60" t="str">
        <x:f>IF(OR(E80="",Q80=""),"",E80-Q80)</x:f>
      </x:c>
      <x:c r="S80" s="61" t="str">
        <x:f>IF(OR(E80="",E80=0,R80=""),"",R80/E80)</x:f>
      </x:c>
      <x:c r="T80" s="58" t="str">
        <x:f>IF(A80="","",IF(OR(E80="",H80="",M80=""),"STOP: 未入力",IF(R80&lt;=0,"STOP: 利益なし","要確認")))</x:f>
      </x:c>
      <x:c r="U80" s="62"/>
      <x:c r="V80" s="57"/>
    </x:row>
    <x:row r="81" ht="20" customHeight="1">
      <x:c r="A81" s="57"/>
      <x:c r="B81" s="57"/>
      <x:c r="C81" s="59"/>
      <x:c r="D81" s="59"/>
      <x:c r="E81" s="60" t="str">
        <x:f>IF(OR(C81="",D81=""),"",C81+D81)</x:f>
      </x:c>
      <x:c r="F81" s="57"/>
      <x:c r="G81" s="59"/>
      <x:c r="H81" s="60" t="str">
        <x:f>IF(OR(F81="",G81=""),"",F81*G81)</x:f>
      </x:c>
      <x:c r="I81" s="59"/>
      <x:c r="J81" s="59"/>
      <x:c r="K81" s="59"/>
      <x:c r="L81" s="59"/>
      <x:c r="M81" s="61" t="str">
        <x:f>IF(OR(A81="",'設定'!$B$4=""),"",'設定'!$B$4)</x:f>
      </x:c>
      <x:c r="N81" s="60" t="str">
        <x:f>IF(OR(E81="",M81=""),"",E81*M81)</x:f>
      </x:c>
      <x:c r="O81" s="59"/>
      <x:c r="P81" s="59"/>
      <x:c r="Q81" s="60" t="str">
        <x:f>IF(A81="","",SUM(H81:L81,N81:P81))</x:f>
      </x:c>
      <x:c r="R81" s="60" t="str">
        <x:f>IF(OR(E81="",Q81=""),"",E81-Q81)</x:f>
      </x:c>
      <x:c r="S81" s="61" t="str">
        <x:f>IF(OR(E81="",E81=0,R81=""),"",R81/E81)</x:f>
      </x:c>
      <x:c r="T81" s="58" t="str">
        <x:f>IF(A81="","",IF(OR(E81="",H81="",M81=""),"STOP: 未入力",IF(R81&lt;=0,"STOP: 利益なし","要確認")))</x:f>
      </x:c>
      <x:c r="U81" s="62"/>
      <x:c r="V81" s="57"/>
    </x:row>
    <x:row r="82" ht="20" customHeight="1">
      <x:c r="A82" s="57"/>
      <x:c r="B82" s="57"/>
      <x:c r="C82" s="59"/>
      <x:c r="D82" s="59"/>
      <x:c r="E82" s="60" t="str">
        <x:f>IF(OR(C82="",D82=""),"",C82+D82)</x:f>
      </x:c>
      <x:c r="F82" s="57"/>
      <x:c r="G82" s="59"/>
      <x:c r="H82" s="60" t="str">
        <x:f>IF(OR(F82="",G82=""),"",F82*G82)</x:f>
      </x:c>
      <x:c r="I82" s="59"/>
      <x:c r="J82" s="59"/>
      <x:c r="K82" s="59"/>
      <x:c r="L82" s="59"/>
      <x:c r="M82" s="61" t="str">
        <x:f>IF(OR(A82="",'設定'!$B$4=""),"",'設定'!$B$4)</x:f>
      </x:c>
      <x:c r="N82" s="60" t="str">
        <x:f>IF(OR(E82="",M82=""),"",E82*M82)</x:f>
      </x:c>
      <x:c r="O82" s="59"/>
      <x:c r="P82" s="59"/>
      <x:c r="Q82" s="60" t="str">
        <x:f>IF(A82="","",SUM(H82:L82,N82:P82))</x:f>
      </x:c>
      <x:c r="R82" s="60" t="str">
        <x:f>IF(OR(E82="",Q82=""),"",E82-Q82)</x:f>
      </x:c>
      <x:c r="S82" s="61" t="str">
        <x:f>IF(OR(E82="",E82=0,R82=""),"",R82/E82)</x:f>
      </x:c>
      <x:c r="T82" s="58" t="str">
        <x:f>IF(A82="","",IF(OR(E82="",H82="",M82=""),"STOP: 未入力",IF(R82&lt;=0,"STOP: 利益なし","要確認")))</x:f>
      </x:c>
      <x:c r="U82" s="62"/>
      <x:c r="V82" s="57"/>
    </x:row>
    <x:row r="83" ht="20" customHeight="1">
      <x:c r="A83" s="57"/>
      <x:c r="B83" s="57"/>
      <x:c r="C83" s="59"/>
      <x:c r="D83" s="59"/>
      <x:c r="E83" s="60" t="str">
        <x:f>IF(OR(C83="",D83=""),"",C83+D83)</x:f>
      </x:c>
      <x:c r="F83" s="57"/>
      <x:c r="G83" s="59"/>
      <x:c r="H83" s="60" t="str">
        <x:f>IF(OR(F83="",G83=""),"",F83*G83)</x:f>
      </x:c>
      <x:c r="I83" s="59"/>
      <x:c r="J83" s="59"/>
      <x:c r="K83" s="59"/>
      <x:c r="L83" s="59"/>
      <x:c r="M83" s="61" t="str">
        <x:f>IF(OR(A83="",'設定'!$B$4=""),"",'設定'!$B$4)</x:f>
      </x:c>
      <x:c r="N83" s="60" t="str">
        <x:f>IF(OR(E83="",M83=""),"",E83*M83)</x:f>
      </x:c>
      <x:c r="O83" s="59"/>
      <x:c r="P83" s="59"/>
      <x:c r="Q83" s="60" t="str">
        <x:f>IF(A83="","",SUM(H83:L83,N83:P83))</x:f>
      </x:c>
      <x:c r="R83" s="60" t="str">
        <x:f>IF(OR(E83="",Q83=""),"",E83-Q83)</x:f>
      </x:c>
      <x:c r="S83" s="61" t="str">
        <x:f>IF(OR(E83="",E83=0,R83=""),"",R83/E83)</x:f>
      </x:c>
      <x:c r="T83" s="58" t="str">
        <x:f>IF(A83="","",IF(OR(E83="",H83="",M83=""),"STOP: 未入力",IF(R83&lt;=0,"STOP: 利益なし","要確認")))</x:f>
      </x:c>
      <x:c r="U83" s="62"/>
      <x:c r="V83" s="57"/>
    </x:row>
    <x:row r="84" ht="20" customHeight="1">
      <x:c r="A84" s="57"/>
      <x:c r="B84" s="57"/>
      <x:c r="C84" s="59"/>
      <x:c r="D84" s="59"/>
      <x:c r="E84" s="60" t="str">
        <x:f>IF(OR(C84="",D84=""),"",C84+D84)</x:f>
      </x:c>
      <x:c r="F84" s="57"/>
      <x:c r="G84" s="59"/>
      <x:c r="H84" s="60" t="str">
        <x:f>IF(OR(F84="",G84=""),"",F84*G84)</x:f>
      </x:c>
      <x:c r="I84" s="59"/>
      <x:c r="J84" s="59"/>
      <x:c r="K84" s="59"/>
      <x:c r="L84" s="59"/>
      <x:c r="M84" s="61" t="str">
        <x:f>IF(OR(A84="",'設定'!$B$4=""),"",'設定'!$B$4)</x:f>
      </x:c>
      <x:c r="N84" s="60" t="str">
        <x:f>IF(OR(E84="",M84=""),"",E84*M84)</x:f>
      </x:c>
      <x:c r="O84" s="59"/>
      <x:c r="P84" s="59"/>
      <x:c r="Q84" s="60" t="str">
        <x:f>IF(A84="","",SUM(H84:L84,N84:P84))</x:f>
      </x:c>
      <x:c r="R84" s="60" t="str">
        <x:f>IF(OR(E84="",Q84=""),"",E84-Q84)</x:f>
      </x:c>
      <x:c r="S84" s="61" t="str">
        <x:f>IF(OR(E84="",E84=0,R84=""),"",R84/E84)</x:f>
      </x:c>
      <x:c r="T84" s="58" t="str">
        <x:f>IF(A84="","",IF(OR(E84="",H84="",M84=""),"STOP: 未入力",IF(R84&lt;=0,"STOP: 利益なし","要確認")))</x:f>
      </x:c>
      <x:c r="U84" s="62"/>
      <x:c r="V84" s="57"/>
    </x:row>
    <x:row r="85" ht="20" customHeight="1">
      <x:c r="A85" s="57"/>
      <x:c r="B85" s="57"/>
      <x:c r="C85" s="59"/>
      <x:c r="D85" s="59"/>
      <x:c r="E85" s="60" t="str">
        <x:f>IF(OR(C85="",D85=""),"",C85+D85)</x:f>
      </x:c>
      <x:c r="F85" s="57"/>
      <x:c r="G85" s="59"/>
      <x:c r="H85" s="60" t="str">
        <x:f>IF(OR(F85="",G85=""),"",F85*G85)</x:f>
      </x:c>
      <x:c r="I85" s="59"/>
      <x:c r="J85" s="59"/>
      <x:c r="K85" s="59"/>
      <x:c r="L85" s="59"/>
      <x:c r="M85" s="61" t="str">
        <x:f>IF(OR(A85="",'設定'!$B$4=""),"",'設定'!$B$4)</x:f>
      </x:c>
      <x:c r="N85" s="60" t="str">
        <x:f>IF(OR(E85="",M85=""),"",E85*M85)</x:f>
      </x:c>
      <x:c r="O85" s="59"/>
      <x:c r="P85" s="59"/>
      <x:c r="Q85" s="60" t="str">
        <x:f>IF(A85="","",SUM(H85:L85,N85:P85))</x:f>
      </x:c>
      <x:c r="R85" s="60" t="str">
        <x:f>IF(OR(E85="",Q85=""),"",E85-Q85)</x:f>
      </x:c>
      <x:c r="S85" s="61" t="str">
        <x:f>IF(OR(E85="",E85=0,R85=""),"",R85/E85)</x:f>
      </x:c>
      <x:c r="T85" s="58" t="str">
        <x:f>IF(A85="","",IF(OR(E85="",H85="",M85=""),"STOP: 未入力",IF(R85&lt;=0,"STOP: 利益なし","要確認")))</x:f>
      </x:c>
      <x:c r="U85" s="62"/>
      <x:c r="V85" s="57"/>
    </x:row>
    <x:row r="86" ht="20" customHeight="1">
      <x:c r="A86" s="57"/>
      <x:c r="B86" s="57"/>
      <x:c r="C86" s="59"/>
      <x:c r="D86" s="59"/>
      <x:c r="E86" s="60" t="str">
        <x:f>IF(OR(C86="",D86=""),"",C86+D86)</x:f>
      </x:c>
      <x:c r="F86" s="57"/>
      <x:c r="G86" s="59"/>
      <x:c r="H86" s="60" t="str">
        <x:f>IF(OR(F86="",G86=""),"",F86*G86)</x:f>
      </x:c>
      <x:c r="I86" s="59"/>
      <x:c r="J86" s="59"/>
      <x:c r="K86" s="59"/>
      <x:c r="L86" s="59"/>
      <x:c r="M86" s="61" t="str">
        <x:f>IF(OR(A86="",'設定'!$B$4=""),"",'設定'!$B$4)</x:f>
      </x:c>
      <x:c r="N86" s="60" t="str">
        <x:f>IF(OR(E86="",M86=""),"",E86*M86)</x:f>
      </x:c>
      <x:c r="O86" s="59"/>
      <x:c r="P86" s="59"/>
      <x:c r="Q86" s="60" t="str">
        <x:f>IF(A86="","",SUM(H86:L86,N86:P86))</x:f>
      </x:c>
      <x:c r="R86" s="60" t="str">
        <x:f>IF(OR(E86="",Q86=""),"",E86-Q86)</x:f>
      </x:c>
      <x:c r="S86" s="61" t="str">
        <x:f>IF(OR(E86="",E86=0,R86=""),"",R86/E86)</x:f>
      </x:c>
      <x:c r="T86" s="58" t="str">
        <x:f>IF(A86="","",IF(OR(E86="",H86="",M86=""),"STOP: 未入力",IF(R86&lt;=0,"STOP: 利益なし","要確認")))</x:f>
      </x:c>
      <x:c r="U86" s="62"/>
      <x:c r="V86" s="57"/>
    </x:row>
    <x:row r="87" ht="20" customHeight="1">
      <x:c r="A87" s="57"/>
      <x:c r="B87" s="57"/>
      <x:c r="C87" s="59"/>
      <x:c r="D87" s="59"/>
      <x:c r="E87" s="60" t="str">
        <x:f>IF(OR(C87="",D87=""),"",C87+D87)</x:f>
      </x:c>
      <x:c r="F87" s="57"/>
      <x:c r="G87" s="59"/>
      <x:c r="H87" s="60" t="str">
        <x:f>IF(OR(F87="",G87=""),"",F87*G87)</x:f>
      </x:c>
      <x:c r="I87" s="59"/>
      <x:c r="J87" s="59"/>
      <x:c r="K87" s="59"/>
      <x:c r="L87" s="59"/>
      <x:c r="M87" s="61" t="str">
        <x:f>IF(OR(A87="",'設定'!$B$4=""),"",'設定'!$B$4)</x:f>
      </x:c>
      <x:c r="N87" s="60" t="str">
        <x:f>IF(OR(E87="",M87=""),"",E87*M87)</x:f>
      </x:c>
      <x:c r="O87" s="59"/>
      <x:c r="P87" s="59"/>
      <x:c r="Q87" s="60" t="str">
        <x:f>IF(A87="","",SUM(H87:L87,N87:P87))</x:f>
      </x:c>
      <x:c r="R87" s="60" t="str">
        <x:f>IF(OR(E87="",Q87=""),"",E87-Q87)</x:f>
      </x:c>
      <x:c r="S87" s="61" t="str">
        <x:f>IF(OR(E87="",E87=0,R87=""),"",R87/E87)</x:f>
      </x:c>
      <x:c r="T87" s="58" t="str">
        <x:f>IF(A87="","",IF(OR(E87="",H87="",M87=""),"STOP: 未入力",IF(R87&lt;=0,"STOP: 利益なし","要確認")))</x:f>
      </x:c>
      <x:c r="U87" s="62"/>
      <x:c r="V87" s="57"/>
    </x:row>
    <x:row r="88" ht="20" customHeight="1">
      <x:c r="A88" s="57"/>
      <x:c r="B88" s="57"/>
      <x:c r="C88" s="59"/>
      <x:c r="D88" s="59"/>
      <x:c r="E88" s="60" t="str">
        <x:f>IF(OR(C88="",D88=""),"",C88+D88)</x:f>
      </x:c>
      <x:c r="F88" s="57"/>
      <x:c r="G88" s="59"/>
      <x:c r="H88" s="60" t="str">
        <x:f>IF(OR(F88="",G88=""),"",F88*G88)</x:f>
      </x:c>
      <x:c r="I88" s="59"/>
      <x:c r="J88" s="59"/>
      <x:c r="K88" s="59"/>
      <x:c r="L88" s="59"/>
      <x:c r="M88" s="61" t="str">
        <x:f>IF(OR(A88="",'設定'!$B$4=""),"",'設定'!$B$4)</x:f>
      </x:c>
      <x:c r="N88" s="60" t="str">
        <x:f>IF(OR(E88="",M88=""),"",E88*M88)</x:f>
      </x:c>
      <x:c r="O88" s="59"/>
      <x:c r="P88" s="59"/>
      <x:c r="Q88" s="60" t="str">
        <x:f>IF(A88="","",SUM(H88:L88,N88:P88))</x:f>
      </x:c>
      <x:c r="R88" s="60" t="str">
        <x:f>IF(OR(E88="",Q88=""),"",E88-Q88)</x:f>
      </x:c>
      <x:c r="S88" s="61" t="str">
        <x:f>IF(OR(E88="",E88=0,R88=""),"",R88/E88)</x:f>
      </x:c>
      <x:c r="T88" s="58" t="str">
        <x:f>IF(A88="","",IF(OR(E88="",H88="",M88=""),"STOP: 未入力",IF(R88&lt;=0,"STOP: 利益なし","要確認")))</x:f>
      </x:c>
      <x:c r="U88" s="62"/>
      <x:c r="V88" s="57"/>
    </x:row>
    <x:row r="89" ht="20" customHeight="1">
      <x:c r="A89" s="57"/>
      <x:c r="B89" s="57"/>
      <x:c r="C89" s="59"/>
      <x:c r="D89" s="59"/>
      <x:c r="E89" s="60" t="str">
        <x:f>IF(OR(C89="",D89=""),"",C89+D89)</x:f>
      </x:c>
      <x:c r="F89" s="57"/>
      <x:c r="G89" s="59"/>
      <x:c r="H89" s="60" t="str">
        <x:f>IF(OR(F89="",G89=""),"",F89*G89)</x:f>
      </x:c>
      <x:c r="I89" s="59"/>
      <x:c r="J89" s="59"/>
      <x:c r="K89" s="59"/>
      <x:c r="L89" s="59"/>
      <x:c r="M89" s="61" t="str">
        <x:f>IF(OR(A89="",'設定'!$B$4=""),"",'設定'!$B$4)</x:f>
      </x:c>
      <x:c r="N89" s="60" t="str">
        <x:f>IF(OR(E89="",M89=""),"",E89*M89)</x:f>
      </x:c>
      <x:c r="O89" s="59"/>
      <x:c r="P89" s="59"/>
      <x:c r="Q89" s="60" t="str">
        <x:f>IF(A89="","",SUM(H89:L89,N89:P89))</x:f>
      </x:c>
      <x:c r="R89" s="60" t="str">
        <x:f>IF(OR(E89="",Q89=""),"",E89-Q89)</x:f>
      </x:c>
      <x:c r="S89" s="61" t="str">
        <x:f>IF(OR(E89="",E89=0,R89=""),"",R89/E89)</x:f>
      </x:c>
      <x:c r="T89" s="58" t="str">
        <x:f>IF(A89="","",IF(OR(E89="",H89="",M89=""),"STOP: 未入力",IF(R89&lt;=0,"STOP: 利益なし","要確認")))</x:f>
      </x:c>
      <x:c r="U89" s="62"/>
      <x:c r="V89" s="57"/>
    </x:row>
    <x:row r="90" ht="20" customHeight="1">
      <x:c r="A90" s="57"/>
      <x:c r="B90" s="57"/>
      <x:c r="C90" s="59"/>
      <x:c r="D90" s="59"/>
      <x:c r="E90" s="60" t="str">
        <x:f>IF(OR(C90="",D90=""),"",C90+D90)</x:f>
      </x:c>
      <x:c r="F90" s="57"/>
      <x:c r="G90" s="59"/>
      <x:c r="H90" s="60" t="str">
        <x:f>IF(OR(F90="",G90=""),"",F90*G90)</x:f>
      </x:c>
      <x:c r="I90" s="59"/>
      <x:c r="J90" s="59"/>
      <x:c r="K90" s="59"/>
      <x:c r="L90" s="59"/>
      <x:c r="M90" s="61" t="str">
        <x:f>IF(OR(A90="",'設定'!$B$4=""),"",'設定'!$B$4)</x:f>
      </x:c>
      <x:c r="N90" s="60" t="str">
        <x:f>IF(OR(E90="",M90=""),"",E90*M90)</x:f>
      </x:c>
      <x:c r="O90" s="59"/>
      <x:c r="P90" s="59"/>
      <x:c r="Q90" s="60" t="str">
        <x:f>IF(A90="","",SUM(H90:L90,N90:P90))</x:f>
      </x:c>
      <x:c r="R90" s="60" t="str">
        <x:f>IF(OR(E90="",Q90=""),"",E90-Q90)</x:f>
      </x:c>
      <x:c r="S90" s="61" t="str">
        <x:f>IF(OR(E90="",E90=0,R90=""),"",R90/E90)</x:f>
      </x:c>
      <x:c r="T90" s="58" t="str">
        <x:f>IF(A90="","",IF(OR(E90="",H90="",M90=""),"STOP: 未入力",IF(R90&lt;=0,"STOP: 利益なし","要確認")))</x:f>
      </x:c>
      <x:c r="U90" s="62"/>
      <x:c r="V90" s="57"/>
    </x:row>
    <x:row r="91" ht="20" customHeight="1">
      <x:c r="A91" s="57"/>
      <x:c r="B91" s="57"/>
      <x:c r="C91" s="59"/>
      <x:c r="D91" s="59"/>
      <x:c r="E91" s="60" t="str">
        <x:f>IF(OR(C91="",D91=""),"",C91+D91)</x:f>
      </x:c>
      <x:c r="F91" s="57"/>
      <x:c r="G91" s="59"/>
      <x:c r="H91" s="60" t="str">
        <x:f>IF(OR(F91="",G91=""),"",F91*G91)</x:f>
      </x:c>
      <x:c r="I91" s="59"/>
      <x:c r="J91" s="59"/>
      <x:c r="K91" s="59"/>
      <x:c r="L91" s="59"/>
      <x:c r="M91" s="61" t="str">
        <x:f>IF(OR(A91="",'設定'!$B$4=""),"",'設定'!$B$4)</x:f>
      </x:c>
      <x:c r="N91" s="60" t="str">
        <x:f>IF(OR(E91="",M91=""),"",E91*M91)</x:f>
      </x:c>
      <x:c r="O91" s="59"/>
      <x:c r="P91" s="59"/>
      <x:c r="Q91" s="60" t="str">
        <x:f>IF(A91="","",SUM(H91:L91,N91:P91))</x:f>
      </x:c>
      <x:c r="R91" s="60" t="str">
        <x:f>IF(OR(E91="",Q91=""),"",E91-Q91)</x:f>
      </x:c>
      <x:c r="S91" s="61" t="str">
        <x:f>IF(OR(E91="",E91=0,R91=""),"",R91/E91)</x:f>
      </x:c>
      <x:c r="T91" s="58" t="str">
        <x:f>IF(A91="","",IF(OR(E91="",H91="",M91=""),"STOP: 未入力",IF(R91&lt;=0,"STOP: 利益なし","要確認")))</x:f>
      </x:c>
      <x:c r="U91" s="62"/>
      <x:c r="V91" s="57"/>
    </x:row>
    <x:row r="92" ht="20" customHeight="1">
      <x:c r="A92" s="57"/>
      <x:c r="B92" s="57"/>
      <x:c r="C92" s="59"/>
      <x:c r="D92" s="59"/>
      <x:c r="E92" s="60" t="str">
        <x:f>IF(OR(C92="",D92=""),"",C92+D92)</x:f>
      </x:c>
      <x:c r="F92" s="57"/>
      <x:c r="G92" s="59"/>
      <x:c r="H92" s="60" t="str">
        <x:f>IF(OR(F92="",G92=""),"",F92*G92)</x:f>
      </x:c>
      <x:c r="I92" s="59"/>
      <x:c r="J92" s="59"/>
      <x:c r="K92" s="59"/>
      <x:c r="L92" s="59"/>
      <x:c r="M92" s="61" t="str">
        <x:f>IF(OR(A92="",'設定'!$B$4=""),"",'設定'!$B$4)</x:f>
      </x:c>
      <x:c r="N92" s="60" t="str">
        <x:f>IF(OR(E92="",M92=""),"",E92*M92)</x:f>
      </x:c>
      <x:c r="O92" s="59"/>
      <x:c r="P92" s="59"/>
      <x:c r="Q92" s="60" t="str">
        <x:f>IF(A92="","",SUM(H92:L92,N92:P92))</x:f>
      </x:c>
      <x:c r="R92" s="60" t="str">
        <x:f>IF(OR(E92="",Q92=""),"",E92-Q92)</x:f>
      </x:c>
      <x:c r="S92" s="61" t="str">
        <x:f>IF(OR(E92="",E92=0,R92=""),"",R92/E92)</x:f>
      </x:c>
      <x:c r="T92" s="58" t="str">
        <x:f>IF(A92="","",IF(OR(E92="",H92="",M92=""),"STOP: 未入力",IF(R92&lt;=0,"STOP: 利益なし","要確認")))</x:f>
      </x:c>
      <x:c r="U92" s="62"/>
      <x:c r="V92" s="57"/>
    </x:row>
    <x:row r="93" ht="20" customHeight="1">
      <x:c r="A93" s="57"/>
      <x:c r="B93" s="57"/>
      <x:c r="C93" s="59"/>
      <x:c r="D93" s="59"/>
      <x:c r="E93" s="60" t="str">
        <x:f>IF(OR(C93="",D93=""),"",C93+D93)</x:f>
      </x:c>
      <x:c r="F93" s="57"/>
      <x:c r="G93" s="59"/>
      <x:c r="H93" s="60" t="str">
        <x:f>IF(OR(F93="",G93=""),"",F93*G93)</x:f>
      </x:c>
      <x:c r="I93" s="59"/>
      <x:c r="J93" s="59"/>
      <x:c r="K93" s="59"/>
      <x:c r="L93" s="59"/>
      <x:c r="M93" s="61" t="str">
        <x:f>IF(OR(A93="",'設定'!$B$4=""),"",'設定'!$B$4)</x:f>
      </x:c>
      <x:c r="N93" s="60" t="str">
        <x:f>IF(OR(E93="",M93=""),"",E93*M93)</x:f>
      </x:c>
      <x:c r="O93" s="59"/>
      <x:c r="P93" s="59"/>
      <x:c r="Q93" s="60" t="str">
        <x:f>IF(A93="","",SUM(H93:L93,N93:P93))</x:f>
      </x:c>
      <x:c r="R93" s="60" t="str">
        <x:f>IF(OR(E93="",Q93=""),"",E93-Q93)</x:f>
      </x:c>
      <x:c r="S93" s="61" t="str">
        <x:f>IF(OR(E93="",E93=0,R93=""),"",R93/E93)</x:f>
      </x:c>
      <x:c r="T93" s="58" t="str">
        <x:f>IF(A93="","",IF(OR(E93="",H93="",M93=""),"STOP: 未入力",IF(R93&lt;=0,"STOP: 利益なし","要確認")))</x:f>
      </x:c>
      <x:c r="U93" s="62"/>
      <x:c r="V93" s="57"/>
    </x:row>
    <x:row r="94" ht="20" customHeight="1">
      <x:c r="A94" s="57"/>
      <x:c r="B94" s="57"/>
      <x:c r="C94" s="59"/>
      <x:c r="D94" s="59"/>
      <x:c r="E94" s="60" t="str">
        <x:f>IF(OR(C94="",D94=""),"",C94+D94)</x:f>
      </x:c>
      <x:c r="F94" s="57"/>
      <x:c r="G94" s="59"/>
      <x:c r="H94" s="60" t="str">
        <x:f>IF(OR(F94="",G94=""),"",F94*G94)</x:f>
      </x:c>
      <x:c r="I94" s="59"/>
      <x:c r="J94" s="59"/>
      <x:c r="K94" s="59"/>
      <x:c r="L94" s="59"/>
      <x:c r="M94" s="61" t="str">
        <x:f>IF(OR(A94="",'設定'!$B$4=""),"",'設定'!$B$4)</x:f>
      </x:c>
      <x:c r="N94" s="60" t="str">
        <x:f>IF(OR(E94="",M94=""),"",E94*M94)</x:f>
      </x:c>
      <x:c r="O94" s="59"/>
      <x:c r="P94" s="59"/>
      <x:c r="Q94" s="60" t="str">
        <x:f>IF(A94="","",SUM(H94:L94,N94:P94))</x:f>
      </x:c>
      <x:c r="R94" s="60" t="str">
        <x:f>IF(OR(E94="",Q94=""),"",E94-Q94)</x:f>
      </x:c>
      <x:c r="S94" s="61" t="str">
        <x:f>IF(OR(E94="",E94=0,R94=""),"",R94/E94)</x:f>
      </x:c>
      <x:c r="T94" s="58" t="str">
        <x:f>IF(A94="","",IF(OR(E94="",H94="",M94=""),"STOP: 未入力",IF(R94&lt;=0,"STOP: 利益なし","要確認")))</x:f>
      </x:c>
      <x:c r="U94" s="62"/>
      <x:c r="V94" s="57"/>
    </x:row>
    <x:row r="95" ht="20" customHeight="1">
      <x:c r="A95" s="57"/>
      <x:c r="B95" s="57"/>
      <x:c r="C95" s="59"/>
      <x:c r="D95" s="59"/>
      <x:c r="E95" s="60" t="str">
        <x:f>IF(OR(C95="",D95=""),"",C95+D95)</x:f>
      </x:c>
      <x:c r="F95" s="57"/>
      <x:c r="G95" s="59"/>
      <x:c r="H95" s="60" t="str">
        <x:f>IF(OR(F95="",G95=""),"",F95*G95)</x:f>
      </x:c>
      <x:c r="I95" s="59"/>
      <x:c r="J95" s="59"/>
      <x:c r="K95" s="59"/>
      <x:c r="L95" s="59"/>
      <x:c r="M95" s="61" t="str">
        <x:f>IF(OR(A95="",'設定'!$B$4=""),"",'設定'!$B$4)</x:f>
      </x:c>
      <x:c r="N95" s="60" t="str">
        <x:f>IF(OR(E95="",M95=""),"",E95*M95)</x:f>
      </x:c>
      <x:c r="O95" s="59"/>
      <x:c r="P95" s="59"/>
      <x:c r="Q95" s="60" t="str">
        <x:f>IF(A95="","",SUM(H95:L95,N95:P95))</x:f>
      </x:c>
      <x:c r="R95" s="60" t="str">
        <x:f>IF(OR(E95="",Q95=""),"",E95-Q95)</x:f>
      </x:c>
      <x:c r="S95" s="61" t="str">
        <x:f>IF(OR(E95="",E95=0,R95=""),"",R95/E95)</x:f>
      </x:c>
      <x:c r="T95" s="58" t="str">
        <x:f>IF(A95="","",IF(OR(E95="",H95="",M95=""),"STOP: 未入力",IF(R95&lt;=0,"STOP: 利益なし","要確認")))</x:f>
      </x:c>
      <x:c r="U95" s="62"/>
      <x:c r="V95" s="57"/>
    </x:row>
    <x:row r="96" ht="20" customHeight="1">
      <x:c r="A96" s="57"/>
      <x:c r="B96" s="57"/>
      <x:c r="C96" s="59"/>
      <x:c r="D96" s="59"/>
      <x:c r="E96" s="60" t="str">
        <x:f>IF(OR(C96="",D96=""),"",C96+D96)</x:f>
      </x:c>
      <x:c r="F96" s="57"/>
      <x:c r="G96" s="59"/>
      <x:c r="H96" s="60" t="str">
        <x:f>IF(OR(F96="",G96=""),"",F96*G96)</x:f>
      </x:c>
      <x:c r="I96" s="59"/>
      <x:c r="J96" s="59"/>
      <x:c r="K96" s="59"/>
      <x:c r="L96" s="59"/>
      <x:c r="M96" s="61" t="str">
        <x:f>IF(OR(A96="",'設定'!$B$4=""),"",'設定'!$B$4)</x:f>
      </x:c>
      <x:c r="N96" s="60" t="str">
        <x:f>IF(OR(E96="",M96=""),"",E96*M96)</x:f>
      </x:c>
      <x:c r="O96" s="59"/>
      <x:c r="P96" s="59"/>
      <x:c r="Q96" s="60" t="str">
        <x:f>IF(A96="","",SUM(H96:L96,N96:P96))</x:f>
      </x:c>
      <x:c r="R96" s="60" t="str">
        <x:f>IF(OR(E96="",Q96=""),"",E96-Q96)</x:f>
      </x:c>
      <x:c r="S96" s="61" t="str">
        <x:f>IF(OR(E96="",E96=0,R96=""),"",R96/E96)</x:f>
      </x:c>
      <x:c r="T96" s="58" t="str">
        <x:f>IF(A96="","",IF(OR(E96="",H96="",M96=""),"STOP: 未入力",IF(R96&lt;=0,"STOP: 利益なし","要確認")))</x:f>
      </x:c>
      <x:c r="U96" s="62"/>
      <x:c r="V96" s="57"/>
    </x:row>
    <x:row r="97" ht="20" customHeight="1">
      <x:c r="A97" s="57"/>
      <x:c r="B97" s="57"/>
      <x:c r="C97" s="59"/>
      <x:c r="D97" s="59"/>
      <x:c r="E97" s="60" t="str">
        <x:f>IF(OR(C97="",D97=""),"",C97+D97)</x:f>
      </x:c>
      <x:c r="F97" s="57"/>
      <x:c r="G97" s="59"/>
      <x:c r="H97" s="60" t="str">
        <x:f>IF(OR(F97="",G97=""),"",F97*G97)</x:f>
      </x:c>
      <x:c r="I97" s="59"/>
      <x:c r="J97" s="59"/>
      <x:c r="K97" s="59"/>
      <x:c r="L97" s="59"/>
      <x:c r="M97" s="61" t="str">
        <x:f>IF(OR(A97="",'設定'!$B$4=""),"",'設定'!$B$4)</x:f>
      </x:c>
      <x:c r="N97" s="60" t="str">
        <x:f>IF(OR(E97="",M97=""),"",E97*M97)</x:f>
      </x:c>
      <x:c r="O97" s="59"/>
      <x:c r="P97" s="59"/>
      <x:c r="Q97" s="60" t="str">
        <x:f>IF(A97="","",SUM(H97:L97,N97:P97))</x:f>
      </x:c>
      <x:c r="R97" s="60" t="str">
        <x:f>IF(OR(E97="",Q97=""),"",E97-Q97)</x:f>
      </x:c>
      <x:c r="S97" s="61" t="str">
        <x:f>IF(OR(E97="",E97=0,R97=""),"",R97/E97)</x:f>
      </x:c>
      <x:c r="T97" s="58" t="str">
        <x:f>IF(A97="","",IF(OR(E97="",H97="",M97=""),"STOP: 未入力",IF(R97&lt;=0,"STOP: 利益なし","要確認")))</x:f>
      </x:c>
      <x:c r="U97" s="62"/>
      <x:c r="V97" s="57"/>
    </x:row>
    <x:row r="98" ht="20" customHeight="1">
      <x:c r="A98" s="57"/>
      <x:c r="B98" s="57"/>
      <x:c r="C98" s="59"/>
      <x:c r="D98" s="59"/>
      <x:c r="E98" s="60" t="str">
        <x:f>IF(OR(C98="",D98=""),"",C98+D98)</x:f>
      </x:c>
      <x:c r="F98" s="57"/>
      <x:c r="G98" s="59"/>
      <x:c r="H98" s="60" t="str">
        <x:f>IF(OR(F98="",G98=""),"",F98*G98)</x:f>
      </x:c>
      <x:c r="I98" s="59"/>
      <x:c r="J98" s="59"/>
      <x:c r="K98" s="59"/>
      <x:c r="L98" s="59"/>
      <x:c r="M98" s="61" t="str">
        <x:f>IF(OR(A98="",'設定'!$B$4=""),"",'設定'!$B$4)</x:f>
      </x:c>
      <x:c r="N98" s="60" t="str">
        <x:f>IF(OR(E98="",M98=""),"",E98*M98)</x:f>
      </x:c>
      <x:c r="O98" s="59"/>
      <x:c r="P98" s="59"/>
      <x:c r="Q98" s="60" t="str">
        <x:f>IF(A98="","",SUM(H98:L98,N98:P98))</x:f>
      </x:c>
      <x:c r="R98" s="60" t="str">
        <x:f>IF(OR(E98="",Q98=""),"",E98-Q98)</x:f>
      </x:c>
      <x:c r="S98" s="61" t="str">
        <x:f>IF(OR(E98="",E98=0,R98=""),"",R98/E98)</x:f>
      </x:c>
      <x:c r="T98" s="58" t="str">
        <x:f>IF(A98="","",IF(OR(E98="",H98="",M98=""),"STOP: 未入力",IF(R98&lt;=0,"STOP: 利益なし","要確認")))</x:f>
      </x:c>
      <x:c r="U98" s="62"/>
      <x:c r="V98" s="57"/>
    </x:row>
    <x:row r="99" ht="20" customHeight="1">
      <x:c r="A99" s="57"/>
      <x:c r="B99" s="57"/>
      <x:c r="C99" s="59"/>
      <x:c r="D99" s="59"/>
      <x:c r="E99" s="60" t="str">
        <x:f>IF(OR(C99="",D99=""),"",C99+D99)</x:f>
      </x:c>
      <x:c r="F99" s="57"/>
      <x:c r="G99" s="59"/>
      <x:c r="H99" s="60" t="str">
        <x:f>IF(OR(F99="",G99=""),"",F99*G99)</x:f>
      </x:c>
      <x:c r="I99" s="59"/>
      <x:c r="J99" s="59"/>
      <x:c r="K99" s="59"/>
      <x:c r="L99" s="59"/>
      <x:c r="M99" s="61" t="str">
        <x:f>IF(OR(A99="",'設定'!$B$4=""),"",'設定'!$B$4)</x:f>
      </x:c>
      <x:c r="N99" s="60" t="str">
        <x:f>IF(OR(E99="",M99=""),"",E99*M99)</x:f>
      </x:c>
      <x:c r="O99" s="59"/>
      <x:c r="P99" s="59"/>
      <x:c r="Q99" s="60" t="str">
        <x:f>IF(A99="","",SUM(H99:L99,N99:P99))</x:f>
      </x:c>
      <x:c r="R99" s="60" t="str">
        <x:f>IF(OR(E99="",Q99=""),"",E99-Q99)</x:f>
      </x:c>
      <x:c r="S99" s="61" t="str">
        <x:f>IF(OR(E99="",E99=0,R99=""),"",R99/E99)</x:f>
      </x:c>
      <x:c r="T99" s="58" t="str">
        <x:f>IF(A99="","",IF(OR(E99="",H99="",M99=""),"STOP: 未入力",IF(R99&lt;=0,"STOP: 利益なし","要確認")))</x:f>
      </x:c>
      <x:c r="U99" s="62"/>
      <x:c r="V99" s="57"/>
    </x:row>
    <x:row r="100" ht="20" customHeight="1">
      <x:c r="A100" s="57"/>
      <x:c r="B100" s="57"/>
      <x:c r="C100" s="59"/>
      <x:c r="D100" s="59"/>
      <x:c r="E100" s="60" t="str">
        <x:f>IF(OR(C100="",D100=""),"",C100+D100)</x:f>
      </x:c>
      <x:c r="F100" s="57"/>
      <x:c r="G100" s="59"/>
      <x:c r="H100" s="60" t="str">
        <x:f>IF(OR(F100="",G100=""),"",F100*G100)</x:f>
      </x:c>
      <x:c r="I100" s="59"/>
      <x:c r="J100" s="59"/>
      <x:c r="K100" s="59"/>
      <x:c r="L100" s="59"/>
      <x:c r="M100" s="61" t="str">
        <x:f>IF(OR(A100="",'設定'!$B$4=""),"",'設定'!$B$4)</x:f>
      </x:c>
      <x:c r="N100" s="60" t="str">
        <x:f>IF(OR(E100="",M100=""),"",E100*M100)</x:f>
      </x:c>
      <x:c r="O100" s="59"/>
      <x:c r="P100" s="59"/>
      <x:c r="Q100" s="60" t="str">
        <x:f>IF(A100="","",SUM(H100:L100,N100:P100))</x:f>
      </x:c>
      <x:c r="R100" s="60" t="str">
        <x:f>IF(OR(E100="",Q100=""),"",E100-Q100)</x:f>
      </x:c>
      <x:c r="S100" s="61" t="str">
        <x:f>IF(OR(E100="",E100=0,R100=""),"",R100/E100)</x:f>
      </x:c>
      <x:c r="T100" s="58" t="str">
        <x:f>IF(A100="","",IF(OR(E100="",H100="",M100=""),"STOP: 未入力",IF(R100&lt;=0,"STOP: 利益なし","要確認")))</x:f>
      </x:c>
      <x:c r="U100" s="62"/>
      <x:c r="V100" s="57"/>
    </x:row>
    <x:row r="101" ht="20" customHeight="1">
      <x:c r="A101" s="57"/>
      <x:c r="B101" s="57"/>
      <x:c r="C101" s="59"/>
      <x:c r="D101" s="59"/>
      <x:c r="E101" s="60" t="str">
        <x:f>IF(OR(C101="",D101=""),"",C101+D101)</x:f>
      </x:c>
      <x:c r="F101" s="57"/>
      <x:c r="G101" s="59"/>
      <x:c r="H101" s="60" t="str">
        <x:f>IF(OR(F101="",G101=""),"",F101*G101)</x:f>
      </x:c>
      <x:c r="I101" s="59"/>
      <x:c r="J101" s="59"/>
      <x:c r="K101" s="59"/>
      <x:c r="L101" s="59"/>
      <x:c r="M101" s="61" t="str">
        <x:f>IF(OR(A101="",'設定'!$B$4=""),"",'設定'!$B$4)</x:f>
      </x:c>
      <x:c r="N101" s="60" t="str">
        <x:f>IF(OR(E101="",M101=""),"",E101*M101)</x:f>
      </x:c>
      <x:c r="O101" s="59"/>
      <x:c r="P101" s="59"/>
      <x:c r="Q101" s="60" t="str">
        <x:f>IF(A101="","",SUM(H101:L101,N101:P101))</x:f>
      </x:c>
      <x:c r="R101" s="60" t="str">
        <x:f>IF(OR(E101="",Q101=""),"",E101-Q101)</x:f>
      </x:c>
      <x:c r="S101" s="61" t="str">
        <x:f>IF(OR(E101="",E101=0,R101=""),"",R101/E101)</x:f>
      </x:c>
      <x:c r="T101" s="58" t="str">
        <x:f>IF(A101="","",IF(OR(E101="",H101="",M101=""),"STOP: 未入力",IF(R101&lt;=0,"STOP: 利益なし","要確認")))</x:f>
      </x:c>
      <x:c r="U101" s="62"/>
      <x:c r="V101" s="57"/>
    </x:row>
    <x:row r="102" ht="20" customHeight="1">
      <x:c r="A102" s="57"/>
      <x:c r="B102" s="57"/>
      <x:c r="C102" s="59"/>
      <x:c r="D102" s="59"/>
      <x:c r="E102" s="60" t="str">
        <x:f>IF(OR(C102="",D102=""),"",C102+D102)</x:f>
      </x:c>
      <x:c r="F102" s="57"/>
      <x:c r="G102" s="59"/>
      <x:c r="H102" s="60" t="str">
        <x:f>IF(OR(F102="",G102=""),"",F102*G102)</x:f>
      </x:c>
      <x:c r="I102" s="59"/>
      <x:c r="J102" s="59"/>
      <x:c r="K102" s="59"/>
      <x:c r="L102" s="59"/>
      <x:c r="M102" s="61" t="str">
        <x:f>IF(OR(A102="",'設定'!$B$4=""),"",'設定'!$B$4)</x:f>
      </x:c>
      <x:c r="N102" s="60" t="str">
        <x:f>IF(OR(E102="",M102=""),"",E102*M102)</x:f>
      </x:c>
      <x:c r="O102" s="59"/>
      <x:c r="P102" s="59"/>
      <x:c r="Q102" s="60" t="str">
        <x:f>IF(A102="","",SUM(H102:L102,N102:P102))</x:f>
      </x:c>
      <x:c r="R102" s="60" t="str">
        <x:f>IF(OR(E102="",Q102=""),"",E102-Q102)</x:f>
      </x:c>
      <x:c r="S102" s="61" t="str">
        <x:f>IF(OR(E102="",E102=0,R102=""),"",R102/E102)</x:f>
      </x:c>
      <x:c r="T102" s="58" t="str">
        <x:f>IF(A102="","",IF(OR(E102="",H102="",M102=""),"STOP: 未入力",IF(R102&lt;=0,"STOP: 利益なし","要確認")))</x:f>
      </x:c>
      <x:c r="U102" s="62"/>
      <x:c r="V102" s="57"/>
    </x:row>
    <x:row r="103" ht="20" customHeight="1">
      <x:c r="A103" s="57"/>
      <x:c r="B103" s="57"/>
      <x:c r="C103" s="59"/>
      <x:c r="D103" s="59"/>
      <x:c r="E103" s="60" t="str">
        <x:f>IF(OR(C103="",D103=""),"",C103+D103)</x:f>
      </x:c>
      <x:c r="F103" s="57"/>
      <x:c r="G103" s="59"/>
      <x:c r="H103" s="60" t="str">
        <x:f>IF(OR(F103="",G103=""),"",F103*G103)</x:f>
      </x:c>
      <x:c r="I103" s="59"/>
      <x:c r="J103" s="59"/>
      <x:c r="K103" s="59"/>
      <x:c r="L103" s="59"/>
      <x:c r="M103" s="61" t="str">
        <x:f>IF(OR(A103="",'設定'!$B$4=""),"",'設定'!$B$4)</x:f>
      </x:c>
      <x:c r="N103" s="60" t="str">
        <x:f>IF(OR(E103="",M103=""),"",E103*M103)</x:f>
      </x:c>
      <x:c r="O103" s="59"/>
      <x:c r="P103" s="59"/>
      <x:c r="Q103" s="60" t="str">
        <x:f>IF(A103="","",SUM(H103:L103,N103:P103))</x:f>
      </x:c>
      <x:c r="R103" s="60" t="str">
        <x:f>IF(OR(E103="",Q103=""),"",E103-Q103)</x:f>
      </x:c>
      <x:c r="S103" s="61" t="str">
        <x:f>IF(OR(E103="",E103=0,R103=""),"",R103/E103)</x:f>
      </x:c>
      <x:c r="T103" s="58" t="str">
        <x:f>IF(A103="","",IF(OR(E103="",H103="",M103=""),"STOP: 未入力",IF(R103&lt;=0,"STOP: 利益なし","要確認")))</x:f>
      </x:c>
      <x:c r="U103" s="62"/>
      <x:c r="V103" s="57"/>
    </x:row>
    <x:row r="104" ht="20" customHeight="1">
      <x:c r="A104" s="57"/>
      <x:c r="B104" s="57"/>
      <x:c r="C104" s="59"/>
      <x:c r="D104" s="59"/>
      <x:c r="E104" s="60" t="str">
        <x:f>IF(OR(C104="",D104=""),"",C104+D104)</x:f>
      </x:c>
      <x:c r="F104" s="57"/>
      <x:c r="G104" s="59"/>
      <x:c r="H104" s="60" t="str">
        <x:f>IF(OR(F104="",G104=""),"",F104*G104)</x:f>
      </x:c>
      <x:c r="I104" s="59"/>
      <x:c r="J104" s="59"/>
      <x:c r="K104" s="59"/>
      <x:c r="L104" s="59"/>
      <x:c r="M104" s="61" t="str">
        <x:f>IF(OR(A104="",'設定'!$B$4=""),"",'設定'!$B$4)</x:f>
      </x:c>
      <x:c r="N104" s="60" t="str">
        <x:f>IF(OR(E104="",M104=""),"",E104*M104)</x:f>
      </x:c>
      <x:c r="O104" s="59"/>
      <x:c r="P104" s="59"/>
      <x:c r="Q104" s="60" t="str">
        <x:f>IF(A104="","",SUM(H104:L104,N104:P104))</x:f>
      </x:c>
      <x:c r="R104" s="60" t="str">
        <x:f>IF(OR(E104="",Q104=""),"",E104-Q104)</x:f>
      </x:c>
      <x:c r="S104" s="61" t="str">
        <x:f>IF(OR(E104="",E104=0,R104=""),"",R104/E104)</x:f>
      </x:c>
      <x:c r="T104" s="58" t="str">
        <x:f>IF(A104="","",IF(OR(E104="",H104="",M104=""),"STOP: 未入力",IF(R104&lt;=0,"STOP: 利益なし","要確認")))</x:f>
      </x:c>
      <x:c r="U104" s="62"/>
      <x:c r="V104" s="57"/>
    </x:row>
  </x:sheetData>
  <x:mergeCells>
    <x:mergeCell ref="A1:V1"/>
    <x:mergeCell ref="A2:V2"/>
  </x:mergeCells>
  <x:conditionalFormatting sqref="R5:R104">
    <x:cfRule type="containsText" dxfId="0" priority="1" operator="containsText" text="STOP"/>
    <x:cfRule type="containsText" dxfId="1" priority="2" operator="containsText" text="除外"/>
    <x:cfRule type="containsText" dxfId="2" priority="3" operator="containsText" text="保留"/>
    <x:cfRule type="containsText" dxfId="3" priority="4" operator="containsText" text="確認済み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72" hidden="0" customWidth="1"/>
  </x:cols>
  <x:sheetData>
    <x:row r="1">
      <x:c r="A1" s="2" t="str">
        <x:v>利益計算の設定</x:v>
      </x:c>
      <x:c r="B1" s="2"/>
      <x:c r="C1" s="2"/>
      <x:c r="D1" s="2"/>
    </x:row>
    <x:row r="3">
      <x:c r="A3" s="5" t="str">
        <x:v>項目</x:v>
      </x:c>
      <x:c r="B3" s="8" t="str">
        <x:v>入力値</x:v>
      </x:c>
      <x:c r="C3" s="12" t="str">
        <x:v>説明</x:v>
      </x:c>
    </x:row>
    <x:row r="4">
      <x:c r="A4" s="5" t="str">
        <x:v>BUYMA成約手数料率</x:v>
      </x:c>
      <x:c r="B4" s="8"/>
      <x:c r="C4" s="12" t="str">
        <x:v>自分のアカウントと注文条件に適用される現行率をBUYMA公式画面で確認し、割合で入力します。例: 7.5%なら7.5%。</x:v>
      </x:c>
    </x:row>
    <x:row r="5">
      <x:c r="A5" s="5" t="str">
        <x:v>確認日</x:v>
      </x:c>
      <x:c r="B5" s="8"/>
      <x:c r="C5" s="12" t="str">
        <x:v>手数料率を確認した日</x:v>
      </x:c>
    </x:row>
    <x:row r="6">
      <x:c r="A6" s="5" t="str">
        <x:v>根拠URL・画面メモ</x:v>
      </x:c>
      <x:c r="B6" s="8" t="str">
        <x:v>https://qa.buyma.com/shopper/</x:v>
      </x:c>
      <x:c r="C6" s="12" t="str">
        <x:v>ログイン後の現行表示も確認してください。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</x:cols>
  <x:sheetData>
    <x:row r="1" ht="32" customHeight="1">
      <x:c r="A1" s="14" t="str">
        <x:v>BUYMA 利益計算表 購入者版</x:v>
      </x:c>
      <x:c r="B1" s="14"/>
      <x:c r="C1" s="14"/>
      <x:c r="D1" s="14"/>
      <x:c r="E1" s="14"/>
      <x:c r="F1" s="14"/>
    </x:row>
    <x:row r="3" ht="32" customHeight="1">
      <x:c r="A3" s="15" t="str">
        <x:v>目的</x:v>
      </x:c>
      <x:c r="B3" s="19" t="str">
        <x:v>商品価格と購入者向け配送料を分け、販売価格合計に現行の成約手数料率を掛けて、総コスト・利益・利益率を計算します。</x:v>
      </x:c>
    </x:row>
    <x:row r="4" ht="32" customHeight="1">
      <x:c r="A4" s="15" t="str">
        <x:v>使い方 1</x:v>
      </x:c>
      <x:c r="B4" s="19" t="str">
        <x:v>黄色のセルに、確認できた事実だけを入力します。</x:v>
      </x:c>
    </x:row>
    <x:row r="5" ht="32" customHeight="1">
      <x:c r="A5" s="15" t="str">
        <x:v>使い方 2</x:v>
      </x:c>
      <x:c r="B5" s="19" t="str">
        <x:v>水色のセルは計算欄です。式を上書きしないでください。</x:v>
      </x:c>
    </x:row>
    <x:row r="6" ht="32" customHeight="1">
      <x:c r="A6" s="15" t="str">
        <x:v>使い方 3</x:v>
      </x:c>
      <x:c r="B6" s="19" t="str">
        <x:v>未確認、権利不明、販売元不明、検品経路なしの場合は実行せず止めます。</x:v>
      </x:c>
    </x:row>
    <x:row r="7" ht="32" customHeight="1">
      <x:c r="A7" s="15" t="str">
        <x:v>記録しない</x:v>
      </x:c>
      <x:c r="B7" s="19" t="str">
        <x:v>パスワード、カード番号、本人確認書類、購入者の個人情報は入れません。証拠原本は権限を限定した保管先へ分離し、この表には参照先だけを記録します。</x:v>
      </x:c>
    </x:row>
    <x:row r="8" ht="32" customHeight="1">
      <x:c r="A8" s="15" t="str">
        <x:v>確認日</x:v>
      </x:c>
      <x:c r="B8" s="19" t="str">
        <x:v>2026-07-13</x:v>
      </x:c>
    </x:row>
    <x:row r="9" ht="32" customHeight="1">
      <x:c r="A9" s="15" t="str">
        <x:v>注意 1</x:v>
      </x:c>
      <x:c r="B9" s="19" t="str">
        <x:v>空欄を0円と決めつけず、発生可能性がある費用は確認してから判断してください。</x:v>
      </x:c>
    </x:row>
    <x:row r="10" ht="32" customHeight="1">
      <x:c r="A10" s="15" t="str">
        <x:v>公式確認先 1</x:v>
      </x:c>
      <x:c r="B10" s="19" t="str">
        <x:v>https://qa.buyma.com/bm/usage-fee/4503.html</x:v>
      </x:c>
    </x:row>
    <x:row r="11" ht="32" customHeight="1">
      <x:c r="A11" s="15" t="str">
        <x:v>公式確認先 2</x:v>
      </x:c>
      <x:c r="B11" s="19" t="str">
        <x:v>https://qa.buyma.com/buy/pay/3104.html</x:v>
      </x:c>
    </x:row>
    <x:row r="12" ht="32" customHeight="1">
      <x:c r="A12" s="15" t="str">
        <x:v>公式確認先 3</x:v>
      </x:c>
      <x:c r="B12" s="19" t="str">
        <x:v>https://www.customs.go.jp/</x:v>
      </x:c>
    </x:row>
  </x:sheetData>
  <x:mergeCells>
    <x:mergeCell ref="A1:F1"/>
  </x:mergeCells>
  <x:pageMargins left="0.7" right="0.7" top="0.75" bottom="0.75" header="0.3" footer="0.3"/>
</x:worksheet>
</file>