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23728a25a542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出品管理" sheetId="1" r:id="Re248a2e1e2014e98"/>
    <x:sheet xmlns:r="http://schemas.openxmlformats.org/officeDocument/2006/relationships" name="設定" sheetId="2" r:id="Reb5c52626e4b48f9"/>
    <x:sheet xmlns:r="http://schemas.openxmlformats.org/officeDocument/2006/relationships" name="使い方" sheetId="3" r:id="R17a638dfcc3646c2"/>
    <x:sheet xmlns:r="http://schemas.openxmlformats.org/officeDocument/2006/relationships" name="関税・分類確認" sheetId="4" r:id="R872df3bc1bac48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%"/>
    <x:numFmt numFmtId="203" formatCode="yyyy-mm-dd hh:mm"/>
    <x:numFmt numFmtId="204" formatCode="yyyy-mm-dd"/>
  </x:numFmts>
  <x:fonts count="9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93134dc6774879" /><Relationship Type="http://schemas.openxmlformats.org/officeDocument/2006/relationships/theme" Target="/xl/theme/theme1.xml" Id="Rd6378fc80522445e" /><Relationship Type="http://schemas.openxmlformats.org/officeDocument/2006/relationships/sharedStrings" Target="/xl/sharedStrings.xml" Id="Ra0cbd32e9b6a406f" /><Relationship Type="http://schemas.openxmlformats.org/officeDocument/2006/relationships/worksheet" Target="/xl/worksheets/sheet1.xml" Id="Re248a2e1e2014e98" /><Relationship Type="http://schemas.openxmlformats.org/officeDocument/2006/relationships/worksheet" Target="/xl/worksheets/sheet2.xml" Id="Reb5c52626e4b48f9" /><Relationship Type="http://schemas.openxmlformats.org/officeDocument/2006/relationships/worksheet" Target="/xl/worksheets/sheet3.xml" Id="R17a638dfcc3646c2" /><Relationship Type="http://schemas.openxmlformats.org/officeDocument/2006/relationships/worksheet" Target="/xl/worksheets/sheet4.xml" Id="R872df3bc1bac48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8" hidden="0" customWidth="1"/>
    <x:col min="4" max="4" width="24" hidden="0" customWidth="1"/>
    <x:col min="5" max="5" width="14" hidden="0" customWidth="1"/>
    <x:col min="6" max="6" width="16" hidden="0" customWidth="1"/>
    <x:col min="7" max="7" width="32" hidden="0" customWidth="1"/>
    <x:col min="8" max="8" width="32" hidden="0" customWidth="1"/>
    <x:col min="9" max="9" width="20" hidden="0" customWidth="1"/>
    <x:col min="10" max="10" width="20" hidden="0" customWidth="1"/>
    <x:col min="11" max="11" width="22" hidden="0" customWidth="1"/>
    <x:col min="12" max="12" width="25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4" hidden="0" customWidth="1"/>
    <x:col min="18" max="18" width="12" hidden="0" customWidth="1"/>
    <x:col min="19" max="19" width="13" hidden="0" customWidth="1"/>
    <x:col min="20" max="20" width="14" hidden="0" customWidth="1"/>
    <x:col min="21" max="21" width="14" hidden="0" customWidth="1"/>
    <x:col min="22" max="22" width="15" hidden="0" customWidth="1"/>
    <x:col min="23" max="23" width="14" hidden="0" customWidth="1"/>
    <x:col min="24" max="24" width="12" hidden="0" customWidth="1"/>
    <x:col min="25" max="25" width="14" hidden="0" customWidth="1"/>
    <x:col min="26" max="26" width="14" hidden="0" customWidth="1"/>
    <x:col min="27" max="27" width="16" hidden="0" customWidth="1"/>
    <x:col min="28" max="28" width="13" hidden="0" customWidth="1"/>
    <x:col min="29" max="29" width="13" hidden="0" customWidth="1"/>
    <x:col min="30" max="30" width="30" hidden="0" customWidth="1"/>
  </x:cols>
  <x:sheetData>
    <x:row r="1" ht="32" customHeight="1">
      <x:c r="A1" s="21" t="str">
        <x:v>BUYMA 出品管理表 購入者版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  <x:c r="L1" s="21"/>
      <x:c r="M1" s="21"/>
      <x:c r="N1" s="21"/>
      <x:c r="O1" s="21"/>
      <x:c r="P1" s="21"/>
      <x:c r="Q1" s="21"/>
      <x:c r="R1" s="21"/>
      <x:c r="S1" s="21"/>
      <x:c r="T1" s="21"/>
      <x:c r="U1" s="21"/>
      <x:c r="V1" s="21"/>
      <x:c r="W1" s="21"/>
      <x:c r="X1" s="21"/>
      <x:c r="Y1" s="21"/>
      <x:c r="Z1" s="21"/>
      <x:c r="AA1" s="21"/>
      <x:c r="AB1" s="21"/>
      <x:c r="AC1" s="21"/>
      <x:c r="AD1" s="21"/>
    </x:row>
    <x:row r="2" ht="34" customHeight="1">
      <x:c r="A2" s="24" t="str">
        <x:v>候補・権利・買付先・利益・確認者を1行で追跡。水色は自動計算です。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</x:row>
    <x:row r="4" ht="42" customHeight="1">
      <x:c r="A4" s="32" t="str">
        <x:v>管理番号</x:v>
      </x:c>
      <x:c r="B4" s="32" t="str">
        <x:v>進行状況</x:v>
      </x:c>
      <x:c r="C4" s="32" t="str">
        <x:v>ブランド</x:v>
      </x:c>
      <x:c r="D4" s="32" t="str">
        <x:v>商品名</x:v>
      </x:c>
      <x:c r="E4" s="32" t="str">
        <x:v>型番</x:v>
      </x:c>
      <x:c r="F4" s="32" t="str">
        <x:v>色・サイズ</x:v>
      </x:c>
      <x:c r="G4" s="32" t="str">
        <x:v>公式商品URL</x:v>
      </x:c>
      <x:c r="H4" s="32" t="str">
        <x:v>買付先URL</x:v>
      </x:c>
      <x:c r="I4" s="32" t="str">
        <x:v>実販売元</x:v>
      </x:c>
      <x:c r="J4" s="32" t="str">
        <x:v>在庫・価格確認日時</x:v>
      </x:c>
      <x:c r="K4" s="32" t="str">
        <x:v>画像利用根拠</x:v>
      </x:c>
      <x:c r="L4" s="32" t="str">
        <x:v>証拠保管先</x:v>
      </x:c>
      <x:c r="M4" s="32" t="str">
        <x:v>商品代金(JPY)</x:v>
      </x:c>
      <x:c r="N4" s="32" t="str">
        <x:v>国内送料</x:v>
      </x:c>
      <x:c r="O4" s="32" t="str">
        <x:v>国際送料</x:v>
      </x:c>
      <x:c r="P4" s="32" t="str">
        <x:v>関税等</x:v>
      </x:c>
      <x:c r="Q4" s="32" t="str">
        <x:v>決済・その他</x:v>
      </x:c>
      <x:c r="R4" s="32" t="str">
        <x:v>外注費</x:v>
      </x:c>
      <x:c r="S4" s="32" t="str">
        <x:v>成約手数料率</x:v>
      </x:c>
      <x:c r="T4" s="32" t="str">
        <x:v>販売価格</x:v>
      </x:c>
      <x:c r="U4" s="32" t="str">
        <x:v>成約手数料</x:v>
      </x:c>
      <x:c r="V4" s="32" t="str">
        <x:v>総コスト</x:v>
      </x:c>
      <x:c r="W4" s="32" t="str">
        <x:v>利益</x:v>
      </x:c>
      <x:c r="X4" s="32" t="str">
        <x:v>利益率</x:v>
      </x:c>
      <x:c r="Y4" s="32" t="str">
        <x:v>作業担当</x:v>
      </x:c>
      <x:c r="Z4" s="32" t="str">
        <x:v>確認者</x:v>
      </x:c>
      <x:c r="AA4" s="32" t="str">
        <x:v>公開前判定</x:v>
      </x:c>
      <x:c r="AB4" s="32" t="str">
        <x:v>公開日</x:v>
      </x:c>
      <x:c r="AC4" s="32" t="str">
        <x:v>更新日</x:v>
      </x:c>
      <x:c r="AD4" s="32" t="str">
        <x:v>備考</x:v>
      </x:c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9"/>
      <x:c r="K5" s="33"/>
      <x:c r="L5" s="33"/>
      <x:c r="M5" s="35"/>
      <x:c r="N5" s="35"/>
      <x:c r="O5" s="35"/>
      <x:c r="P5" s="35"/>
      <x:c r="Q5" s="35"/>
      <x:c r="R5" s="35"/>
      <x:c r="S5" s="37" t="str">
        <x:f>IF(OR(A5="",'設定'!$B$4=""),"",'設定'!$B$4)</x:f>
      </x:c>
      <x:c r="T5" s="35"/>
      <x:c r="U5" s="36" t="str">
        <x:f>IF(OR(T5="",S5=""),"",T5*S5)</x:f>
      </x:c>
      <x:c r="V5" s="36" t="str">
        <x:f>IF(OR(A5="",U5=""),"",SUM(M5:R5,U5))</x:f>
      </x:c>
      <x:c r="W5" s="36" t="str">
        <x:f>IF(OR(T5="",V5=""),"",T5-V5)</x:f>
      </x:c>
      <x:c r="X5" s="38" t="str">
        <x:f>IF(OR(T5="",T5=0,W5=""),"",W5/T5)</x:f>
      </x:c>
      <x:c r="Y5" s="33"/>
      <x:c r="Z5" s="33"/>
      <x:c r="AA5" s="34" t="str">
        <x:f>IF(A5="","",IF(OR(H5="",I5="",J5="",K5="",S5="",T5="",Z5=""),"STOP: 確認不足",IF(W5&lt;=0,"STOP: 利益なし","確認済み")))</x:f>
      </x:c>
      <x:c r="AB5" s="40"/>
      <x:c r="AC5" s="40"/>
      <x:c r="AD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9"/>
      <x:c r="K6" s="33"/>
      <x:c r="L6" s="33"/>
      <x:c r="M6" s="35"/>
      <x:c r="N6" s="35"/>
      <x:c r="O6" s="35"/>
      <x:c r="P6" s="35"/>
      <x:c r="Q6" s="35"/>
      <x:c r="R6" s="35"/>
      <x:c r="S6" s="37" t="str">
        <x:f>IF(OR(A6="",'設定'!$B$4=""),"",'設定'!$B$4)</x:f>
      </x:c>
      <x:c r="T6" s="35"/>
      <x:c r="U6" s="36" t="str">
        <x:f>IF(OR(T6="",S6=""),"",T6*S6)</x:f>
      </x:c>
      <x:c r="V6" s="36" t="str">
        <x:f>IF(OR(A6="",U6=""),"",SUM(M6:R6,U6))</x:f>
      </x:c>
      <x:c r="W6" s="36" t="str">
        <x:f>IF(OR(T6="",V6=""),"",T6-V6)</x:f>
      </x:c>
      <x:c r="X6" s="38" t="str">
        <x:f>IF(OR(T6="",T6=0,W6=""),"",W6/T6)</x:f>
      </x:c>
      <x:c r="Y6" s="33"/>
      <x:c r="Z6" s="33"/>
      <x:c r="AA6" s="34" t="str">
        <x:f>IF(A6="","",IF(OR(H6="",I6="",J6="",K6="",S6="",T6="",Z6=""),"STOP: 確認不足",IF(W6&lt;=0,"STOP: 利益なし","確認済み")))</x:f>
      </x:c>
      <x:c r="AB6" s="40"/>
      <x:c r="AC6" s="40"/>
      <x:c r="AD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9"/>
      <x:c r="K7" s="33"/>
      <x:c r="L7" s="33"/>
      <x:c r="M7" s="35"/>
      <x:c r="N7" s="35"/>
      <x:c r="O7" s="35"/>
      <x:c r="P7" s="35"/>
      <x:c r="Q7" s="35"/>
      <x:c r="R7" s="35"/>
      <x:c r="S7" s="37" t="str">
        <x:f>IF(OR(A7="",'設定'!$B$4=""),"",'設定'!$B$4)</x:f>
      </x:c>
      <x:c r="T7" s="35"/>
      <x:c r="U7" s="36" t="str">
        <x:f>IF(OR(T7="",S7=""),"",T7*S7)</x:f>
      </x:c>
      <x:c r="V7" s="36" t="str">
        <x:f>IF(OR(A7="",U7=""),"",SUM(M7:R7,U7))</x:f>
      </x:c>
      <x:c r="W7" s="36" t="str">
        <x:f>IF(OR(T7="",V7=""),"",T7-V7)</x:f>
      </x:c>
      <x:c r="X7" s="38" t="str">
        <x:f>IF(OR(T7="",T7=0,W7=""),"",W7/T7)</x:f>
      </x:c>
      <x:c r="Y7" s="33"/>
      <x:c r="Z7" s="33"/>
      <x:c r="AA7" s="34" t="str">
        <x:f>IF(A7="","",IF(OR(H7="",I7="",J7="",K7="",S7="",T7="",Z7=""),"STOP: 確認不足",IF(W7&lt;=0,"STOP: 利益なし","確認済み")))</x:f>
      </x:c>
      <x:c r="AB7" s="40"/>
      <x:c r="AC7" s="40"/>
      <x:c r="AD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9"/>
      <x:c r="K8" s="33"/>
      <x:c r="L8" s="33"/>
      <x:c r="M8" s="35"/>
      <x:c r="N8" s="35"/>
      <x:c r="O8" s="35"/>
      <x:c r="P8" s="35"/>
      <x:c r="Q8" s="35"/>
      <x:c r="R8" s="35"/>
      <x:c r="S8" s="37" t="str">
        <x:f>IF(OR(A8="",'設定'!$B$4=""),"",'設定'!$B$4)</x:f>
      </x:c>
      <x:c r="T8" s="35"/>
      <x:c r="U8" s="36" t="str">
        <x:f>IF(OR(T8="",S8=""),"",T8*S8)</x:f>
      </x:c>
      <x:c r="V8" s="36" t="str">
        <x:f>IF(OR(A8="",U8=""),"",SUM(M8:R8,U8))</x:f>
      </x:c>
      <x:c r="W8" s="36" t="str">
        <x:f>IF(OR(T8="",V8=""),"",T8-V8)</x:f>
      </x:c>
      <x:c r="X8" s="38" t="str">
        <x:f>IF(OR(T8="",T8=0,W8=""),"",W8/T8)</x:f>
      </x:c>
      <x:c r="Y8" s="33"/>
      <x:c r="Z8" s="33"/>
      <x:c r="AA8" s="34" t="str">
        <x:f>IF(A8="","",IF(OR(H8="",I8="",J8="",K8="",S8="",T8="",Z8=""),"STOP: 確認不足",IF(W8&lt;=0,"STOP: 利益なし","確認済み")))</x:f>
      </x:c>
      <x:c r="AB8" s="40"/>
      <x:c r="AC8" s="40"/>
      <x:c r="AD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9"/>
      <x:c r="K9" s="33"/>
      <x:c r="L9" s="33"/>
      <x:c r="M9" s="35"/>
      <x:c r="N9" s="35"/>
      <x:c r="O9" s="35"/>
      <x:c r="P9" s="35"/>
      <x:c r="Q9" s="35"/>
      <x:c r="R9" s="35"/>
      <x:c r="S9" s="37" t="str">
        <x:f>IF(OR(A9="",'設定'!$B$4=""),"",'設定'!$B$4)</x:f>
      </x:c>
      <x:c r="T9" s="35"/>
      <x:c r="U9" s="36" t="str">
        <x:f>IF(OR(T9="",S9=""),"",T9*S9)</x:f>
      </x:c>
      <x:c r="V9" s="36" t="str">
        <x:f>IF(OR(A9="",U9=""),"",SUM(M9:R9,U9))</x:f>
      </x:c>
      <x:c r="W9" s="36" t="str">
        <x:f>IF(OR(T9="",V9=""),"",T9-V9)</x:f>
      </x:c>
      <x:c r="X9" s="38" t="str">
        <x:f>IF(OR(T9="",T9=0,W9=""),"",W9/T9)</x:f>
      </x:c>
      <x:c r="Y9" s="33"/>
      <x:c r="Z9" s="33"/>
      <x:c r="AA9" s="34" t="str">
        <x:f>IF(A9="","",IF(OR(H9="",I9="",J9="",K9="",S9="",T9="",Z9=""),"STOP: 確認不足",IF(W9&lt;=0,"STOP: 利益なし","確認済み")))</x:f>
      </x:c>
      <x:c r="AB9" s="40"/>
      <x:c r="AC9" s="40"/>
      <x:c r="AD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9"/>
      <x:c r="K10" s="33"/>
      <x:c r="L10" s="33"/>
      <x:c r="M10" s="35"/>
      <x:c r="N10" s="35"/>
      <x:c r="O10" s="35"/>
      <x:c r="P10" s="35"/>
      <x:c r="Q10" s="35"/>
      <x:c r="R10" s="35"/>
      <x:c r="S10" s="37" t="str">
        <x:f>IF(OR(A10="",'設定'!$B$4=""),"",'設定'!$B$4)</x:f>
      </x:c>
      <x:c r="T10" s="35"/>
      <x:c r="U10" s="36" t="str">
        <x:f>IF(OR(T10="",S10=""),"",T10*S10)</x:f>
      </x:c>
      <x:c r="V10" s="36" t="str">
        <x:f>IF(OR(A10="",U10=""),"",SUM(M10:R10,U10))</x:f>
      </x:c>
      <x:c r="W10" s="36" t="str">
        <x:f>IF(OR(T10="",V10=""),"",T10-V10)</x:f>
      </x:c>
      <x:c r="X10" s="38" t="str">
        <x:f>IF(OR(T10="",T10=0,W10=""),"",W10/T10)</x:f>
      </x:c>
      <x:c r="Y10" s="33"/>
      <x:c r="Z10" s="33"/>
      <x:c r="AA10" s="34" t="str">
        <x:f>IF(A10="","",IF(OR(H10="",I10="",J10="",K10="",S10="",T10="",Z10=""),"STOP: 確認不足",IF(W10&lt;=0,"STOP: 利益なし","確認済み")))</x:f>
      </x:c>
      <x:c r="AB10" s="40"/>
      <x:c r="AC10" s="40"/>
      <x:c r="AD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9"/>
      <x:c r="K11" s="33"/>
      <x:c r="L11" s="33"/>
      <x:c r="M11" s="35"/>
      <x:c r="N11" s="35"/>
      <x:c r="O11" s="35"/>
      <x:c r="P11" s="35"/>
      <x:c r="Q11" s="35"/>
      <x:c r="R11" s="35"/>
      <x:c r="S11" s="37" t="str">
        <x:f>IF(OR(A11="",'設定'!$B$4=""),"",'設定'!$B$4)</x:f>
      </x:c>
      <x:c r="T11" s="35"/>
      <x:c r="U11" s="36" t="str">
        <x:f>IF(OR(T11="",S11=""),"",T11*S11)</x:f>
      </x:c>
      <x:c r="V11" s="36" t="str">
        <x:f>IF(OR(A11="",U11=""),"",SUM(M11:R11,U11))</x:f>
      </x:c>
      <x:c r="W11" s="36" t="str">
        <x:f>IF(OR(T11="",V11=""),"",T11-V11)</x:f>
      </x:c>
      <x:c r="X11" s="38" t="str">
        <x:f>IF(OR(T11="",T11=0,W11=""),"",W11/T11)</x:f>
      </x:c>
      <x:c r="Y11" s="33"/>
      <x:c r="Z11" s="33"/>
      <x:c r="AA11" s="34" t="str">
        <x:f>IF(A11="","",IF(OR(H11="",I11="",J11="",K11="",S11="",T11="",Z11=""),"STOP: 確認不足",IF(W11&lt;=0,"STOP: 利益なし","確認済み")))</x:f>
      </x:c>
      <x:c r="AB11" s="40"/>
      <x:c r="AC11" s="40"/>
      <x:c r="AD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9"/>
      <x:c r="K12" s="33"/>
      <x:c r="L12" s="33"/>
      <x:c r="M12" s="35"/>
      <x:c r="N12" s="35"/>
      <x:c r="O12" s="35"/>
      <x:c r="P12" s="35"/>
      <x:c r="Q12" s="35"/>
      <x:c r="R12" s="35"/>
      <x:c r="S12" s="37" t="str">
        <x:f>IF(OR(A12="",'設定'!$B$4=""),"",'設定'!$B$4)</x:f>
      </x:c>
      <x:c r="T12" s="35"/>
      <x:c r="U12" s="36" t="str">
        <x:f>IF(OR(T12="",S12=""),"",T12*S12)</x:f>
      </x:c>
      <x:c r="V12" s="36" t="str">
        <x:f>IF(OR(A12="",U12=""),"",SUM(M12:R12,U12))</x:f>
      </x:c>
      <x:c r="W12" s="36" t="str">
        <x:f>IF(OR(T12="",V12=""),"",T12-V12)</x:f>
      </x:c>
      <x:c r="X12" s="38" t="str">
        <x:f>IF(OR(T12="",T12=0,W12=""),"",W12/T12)</x:f>
      </x:c>
      <x:c r="Y12" s="33"/>
      <x:c r="Z12" s="33"/>
      <x:c r="AA12" s="34" t="str">
        <x:f>IF(A12="","",IF(OR(H12="",I12="",J12="",K12="",S12="",T12="",Z12=""),"STOP: 確認不足",IF(W12&lt;=0,"STOP: 利益なし","確認済み")))</x:f>
      </x:c>
      <x:c r="AB12" s="40"/>
      <x:c r="AC12" s="40"/>
      <x:c r="AD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9"/>
      <x:c r="K13" s="33"/>
      <x:c r="L13" s="33"/>
      <x:c r="M13" s="35"/>
      <x:c r="N13" s="35"/>
      <x:c r="O13" s="35"/>
      <x:c r="P13" s="35"/>
      <x:c r="Q13" s="35"/>
      <x:c r="R13" s="35"/>
      <x:c r="S13" s="37" t="str">
        <x:f>IF(OR(A13="",'設定'!$B$4=""),"",'設定'!$B$4)</x:f>
      </x:c>
      <x:c r="T13" s="35"/>
      <x:c r="U13" s="36" t="str">
        <x:f>IF(OR(T13="",S13=""),"",T13*S13)</x:f>
      </x:c>
      <x:c r="V13" s="36" t="str">
        <x:f>IF(OR(A13="",U13=""),"",SUM(M13:R13,U13))</x:f>
      </x:c>
      <x:c r="W13" s="36" t="str">
        <x:f>IF(OR(T13="",V13=""),"",T13-V13)</x:f>
      </x:c>
      <x:c r="X13" s="38" t="str">
        <x:f>IF(OR(T13="",T13=0,W13=""),"",W13/T13)</x:f>
      </x:c>
      <x:c r="Y13" s="33"/>
      <x:c r="Z13" s="33"/>
      <x:c r="AA13" s="34" t="str">
        <x:f>IF(A13="","",IF(OR(H13="",I13="",J13="",K13="",S13="",T13="",Z13=""),"STOP: 確認不足",IF(W13&lt;=0,"STOP: 利益なし","確認済み")))</x:f>
      </x:c>
      <x:c r="AB13" s="40"/>
      <x:c r="AC13" s="40"/>
      <x:c r="AD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9"/>
      <x:c r="K14" s="33"/>
      <x:c r="L14" s="33"/>
      <x:c r="M14" s="35"/>
      <x:c r="N14" s="35"/>
      <x:c r="O14" s="35"/>
      <x:c r="P14" s="35"/>
      <x:c r="Q14" s="35"/>
      <x:c r="R14" s="35"/>
      <x:c r="S14" s="37" t="str">
        <x:f>IF(OR(A14="",'設定'!$B$4=""),"",'設定'!$B$4)</x:f>
      </x:c>
      <x:c r="T14" s="35"/>
      <x:c r="U14" s="36" t="str">
        <x:f>IF(OR(T14="",S14=""),"",T14*S14)</x:f>
      </x:c>
      <x:c r="V14" s="36" t="str">
        <x:f>IF(OR(A14="",U14=""),"",SUM(M14:R14,U14))</x:f>
      </x:c>
      <x:c r="W14" s="36" t="str">
        <x:f>IF(OR(T14="",V14=""),"",T14-V14)</x:f>
      </x:c>
      <x:c r="X14" s="38" t="str">
        <x:f>IF(OR(T14="",T14=0,W14=""),"",W14/T14)</x:f>
      </x:c>
      <x:c r="Y14" s="33"/>
      <x:c r="Z14" s="33"/>
      <x:c r="AA14" s="34" t="str">
        <x:f>IF(A14="","",IF(OR(H14="",I14="",J14="",K14="",S14="",T14="",Z14=""),"STOP: 確認不足",IF(W14&lt;=0,"STOP: 利益なし","確認済み")))</x:f>
      </x:c>
      <x:c r="AB14" s="40"/>
      <x:c r="AC14" s="40"/>
      <x:c r="AD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9"/>
      <x:c r="K15" s="33"/>
      <x:c r="L15" s="33"/>
      <x:c r="M15" s="35"/>
      <x:c r="N15" s="35"/>
      <x:c r="O15" s="35"/>
      <x:c r="P15" s="35"/>
      <x:c r="Q15" s="35"/>
      <x:c r="R15" s="35"/>
      <x:c r="S15" s="37" t="str">
        <x:f>IF(OR(A15="",'設定'!$B$4=""),"",'設定'!$B$4)</x:f>
      </x:c>
      <x:c r="T15" s="35"/>
      <x:c r="U15" s="36" t="str">
        <x:f>IF(OR(T15="",S15=""),"",T15*S15)</x:f>
      </x:c>
      <x:c r="V15" s="36" t="str">
        <x:f>IF(OR(A15="",U15=""),"",SUM(M15:R15,U15))</x:f>
      </x:c>
      <x:c r="W15" s="36" t="str">
        <x:f>IF(OR(T15="",V15=""),"",T15-V15)</x:f>
      </x:c>
      <x:c r="X15" s="38" t="str">
        <x:f>IF(OR(T15="",T15=0,W15=""),"",W15/T15)</x:f>
      </x:c>
      <x:c r="Y15" s="33"/>
      <x:c r="Z15" s="33"/>
      <x:c r="AA15" s="34" t="str">
        <x:f>IF(A15="","",IF(OR(H15="",I15="",J15="",K15="",S15="",T15="",Z15=""),"STOP: 確認不足",IF(W15&lt;=0,"STOP: 利益なし","確認済み")))</x:f>
      </x:c>
      <x:c r="AB15" s="40"/>
      <x:c r="AC15" s="40"/>
      <x:c r="AD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9"/>
      <x:c r="K16" s="33"/>
      <x:c r="L16" s="33"/>
      <x:c r="M16" s="35"/>
      <x:c r="N16" s="35"/>
      <x:c r="O16" s="35"/>
      <x:c r="P16" s="35"/>
      <x:c r="Q16" s="35"/>
      <x:c r="R16" s="35"/>
      <x:c r="S16" s="37" t="str">
        <x:f>IF(OR(A16="",'設定'!$B$4=""),"",'設定'!$B$4)</x:f>
      </x:c>
      <x:c r="T16" s="35"/>
      <x:c r="U16" s="36" t="str">
        <x:f>IF(OR(T16="",S16=""),"",T16*S16)</x:f>
      </x:c>
      <x:c r="V16" s="36" t="str">
        <x:f>IF(OR(A16="",U16=""),"",SUM(M16:R16,U16))</x:f>
      </x:c>
      <x:c r="W16" s="36" t="str">
        <x:f>IF(OR(T16="",V16=""),"",T16-V16)</x:f>
      </x:c>
      <x:c r="X16" s="38" t="str">
        <x:f>IF(OR(T16="",T16=0,W16=""),"",W16/T16)</x:f>
      </x:c>
      <x:c r="Y16" s="33"/>
      <x:c r="Z16" s="33"/>
      <x:c r="AA16" s="34" t="str">
        <x:f>IF(A16="","",IF(OR(H16="",I16="",J16="",K16="",S16="",T16="",Z16=""),"STOP: 確認不足",IF(W16&lt;=0,"STOP: 利益なし","確認済み")))</x:f>
      </x:c>
      <x:c r="AB16" s="40"/>
      <x:c r="AC16" s="40"/>
      <x:c r="AD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9"/>
      <x:c r="K17" s="33"/>
      <x:c r="L17" s="33"/>
      <x:c r="M17" s="35"/>
      <x:c r="N17" s="35"/>
      <x:c r="O17" s="35"/>
      <x:c r="P17" s="35"/>
      <x:c r="Q17" s="35"/>
      <x:c r="R17" s="35"/>
      <x:c r="S17" s="37" t="str">
        <x:f>IF(OR(A17="",'設定'!$B$4=""),"",'設定'!$B$4)</x:f>
      </x:c>
      <x:c r="T17" s="35"/>
      <x:c r="U17" s="36" t="str">
        <x:f>IF(OR(T17="",S17=""),"",T17*S17)</x:f>
      </x:c>
      <x:c r="V17" s="36" t="str">
        <x:f>IF(OR(A17="",U17=""),"",SUM(M17:R17,U17))</x:f>
      </x:c>
      <x:c r="W17" s="36" t="str">
        <x:f>IF(OR(T17="",V17=""),"",T17-V17)</x:f>
      </x:c>
      <x:c r="X17" s="38" t="str">
        <x:f>IF(OR(T17="",T17=0,W17=""),"",W17/T17)</x:f>
      </x:c>
      <x:c r="Y17" s="33"/>
      <x:c r="Z17" s="33"/>
      <x:c r="AA17" s="34" t="str">
        <x:f>IF(A17="","",IF(OR(H17="",I17="",J17="",K17="",S17="",T17="",Z17=""),"STOP: 確認不足",IF(W17&lt;=0,"STOP: 利益なし","確認済み")))</x:f>
      </x:c>
      <x:c r="AB17" s="40"/>
      <x:c r="AC17" s="40"/>
      <x:c r="AD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9"/>
      <x:c r="K18" s="33"/>
      <x:c r="L18" s="33"/>
      <x:c r="M18" s="35"/>
      <x:c r="N18" s="35"/>
      <x:c r="O18" s="35"/>
      <x:c r="P18" s="35"/>
      <x:c r="Q18" s="35"/>
      <x:c r="R18" s="35"/>
      <x:c r="S18" s="37" t="str">
        <x:f>IF(OR(A18="",'設定'!$B$4=""),"",'設定'!$B$4)</x:f>
      </x:c>
      <x:c r="T18" s="35"/>
      <x:c r="U18" s="36" t="str">
        <x:f>IF(OR(T18="",S18=""),"",T18*S18)</x:f>
      </x:c>
      <x:c r="V18" s="36" t="str">
        <x:f>IF(OR(A18="",U18=""),"",SUM(M18:R18,U18))</x:f>
      </x:c>
      <x:c r="W18" s="36" t="str">
        <x:f>IF(OR(T18="",V18=""),"",T18-V18)</x:f>
      </x:c>
      <x:c r="X18" s="38" t="str">
        <x:f>IF(OR(T18="",T18=0,W18=""),"",W18/T18)</x:f>
      </x:c>
      <x:c r="Y18" s="33"/>
      <x:c r="Z18" s="33"/>
      <x:c r="AA18" s="34" t="str">
        <x:f>IF(A18="","",IF(OR(H18="",I18="",J18="",K18="",S18="",T18="",Z18=""),"STOP: 確認不足",IF(W18&lt;=0,"STOP: 利益なし","確認済み")))</x:f>
      </x:c>
      <x:c r="AB18" s="40"/>
      <x:c r="AC18" s="40"/>
      <x:c r="AD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9"/>
      <x:c r="K19" s="33"/>
      <x:c r="L19" s="33"/>
      <x:c r="M19" s="35"/>
      <x:c r="N19" s="35"/>
      <x:c r="O19" s="35"/>
      <x:c r="P19" s="35"/>
      <x:c r="Q19" s="35"/>
      <x:c r="R19" s="35"/>
      <x:c r="S19" s="37" t="str">
        <x:f>IF(OR(A19="",'設定'!$B$4=""),"",'設定'!$B$4)</x:f>
      </x:c>
      <x:c r="T19" s="35"/>
      <x:c r="U19" s="36" t="str">
        <x:f>IF(OR(T19="",S19=""),"",T19*S19)</x:f>
      </x:c>
      <x:c r="V19" s="36" t="str">
        <x:f>IF(OR(A19="",U19=""),"",SUM(M19:R19,U19))</x:f>
      </x:c>
      <x:c r="W19" s="36" t="str">
        <x:f>IF(OR(T19="",V19=""),"",T19-V19)</x:f>
      </x:c>
      <x:c r="X19" s="38" t="str">
        <x:f>IF(OR(T19="",T19=0,W19=""),"",W19/T19)</x:f>
      </x:c>
      <x:c r="Y19" s="33"/>
      <x:c r="Z19" s="33"/>
      <x:c r="AA19" s="34" t="str">
        <x:f>IF(A19="","",IF(OR(H19="",I19="",J19="",K19="",S19="",T19="",Z19=""),"STOP: 確認不足",IF(W19&lt;=0,"STOP: 利益なし","確認済み")))</x:f>
      </x:c>
      <x:c r="AB19" s="40"/>
      <x:c r="AC19" s="40"/>
      <x:c r="AD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9"/>
      <x:c r="K20" s="33"/>
      <x:c r="L20" s="33"/>
      <x:c r="M20" s="35"/>
      <x:c r="N20" s="35"/>
      <x:c r="O20" s="35"/>
      <x:c r="P20" s="35"/>
      <x:c r="Q20" s="35"/>
      <x:c r="R20" s="35"/>
      <x:c r="S20" s="37" t="str">
        <x:f>IF(OR(A20="",'設定'!$B$4=""),"",'設定'!$B$4)</x:f>
      </x:c>
      <x:c r="T20" s="35"/>
      <x:c r="U20" s="36" t="str">
        <x:f>IF(OR(T20="",S20=""),"",T20*S20)</x:f>
      </x:c>
      <x:c r="V20" s="36" t="str">
        <x:f>IF(OR(A20="",U20=""),"",SUM(M20:R20,U20))</x:f>
      </x:c>
      <x:c r="W20" s="36" t="str">
        <x:f>IF(OR(T20="",V20=""),"",T20-V20)</x:f>
      </x:c>
      <x:c r="X20" s="38" t="str">
        <x:f>IF(OR(T20="",T20=0,W20=""),"",W20/T20)</x:f>
      </x:c>
      <x:c r="Y20" s="33"/>
      <x:c r="Z20" s="33"/>
      <x:c r="AA20" s="34" t="str">
        <x:f>IF(A20="","",IF(OR(H20="",I20="",J20="",K20="",S20="",T20="",Z20=""),"STOP: 確認不足",IF(W20&lt;=0,"STOP: 利益なし","確認済み")))</x:f>
      </x:c>
      <x:c r="AB20" s="40"/>
      <x:c r="AC20" s="40"/>
      <x:c r="AD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9"/>
      <x:c r="K21" s="33"/>
      <x:c r="L21" s="33"/>
      <x:c r="M21" s="35"/>
      <x:c r="N21" s="35"/>
      <x:c r="O21" s="35"/>
      <x:c r="P21" s="35"/>
      <x:c r="Q21" s="35"/>
      <x:c r="R21" s="35"/>
      <x:c r="S21" s="37" t="str">
        <x:f>IF(OR(A21="",'設定'!$B$4=""),"",'設定'!$B$4)</x:f>
      </x:c>
      <x:c r="T21" s="35"/>
      <x:c r="U21" s="36" t="str">
        <x:f>IF(OR(T21="",S21=""),"",T21*S21)</x:f>
      </x:c>
      <x:c r="V21" s="36" t="str">
        <x:f>IF(OR(A21="",U21=""),"",SUM(M21:R21,U21))</x:f>
      </x:c>
      <x:c r="W21" s="36" t="str">
        <x:f>IF(OR(T21="",V21=""),"",T21-V21)</x:f>
      </x:c>
      <x:c r="X21" s="38" t="str">
        <x:f>IF(OR(T21="",T21=0,W21=""),"",W21/T21)</x:f>
      </x:c>
      <x:c r="Y21" s="33"/>
      <x:c r="Z21" s="33"/>
      <x:c r="AA21" s="34" t="str">
        <x:f>IF(A21="","",IF(OR(H21="",I21="",J21="",K21="",S21="",T21="",Z21=""),"STOP: 確認不足",IF(W21&lt;=0,"STOP: 利益なし","確認済み")))</x:f>
      </x:c>
      <x:c r="AB21" s="40"/>
      <x:c r="AC21" s="40"/>
      <x:c r="AD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9"/>
      <x:c r="K22" s="33"/>
      <x:c r="L22" s="33"/>
      <x:c r="M22" s="35"/>
      <x:c r="N22" s="35"/>
      <x:c r="O22" s="35"/>
      <x:c r="P22" s="35"/>
      <x:c r="Q22" s="35"/>
      <x:c r="R22" s="35"/>
      <x:c r="S22" s="37" t="str">
        <x:f>IF(OR(A22="",'設定'!$B$4=""),"",'設定'!$B$4)</x:f>
      </x:c>
      <x:c r="T22" s="35"/>
      <x:c r="U22" s="36" t="str">
        <x:f>IF(OR(T22="",S22=""),"",T22*S22)</x:f>
      </x:c>
      <x:c r="V22" s="36" t="str">
        <x:f>IF(OR(A22="",U22=""),"",SUM(M22:R22,U22))</x:f>
      </x:c>
      <x:c r="W22" s="36" t="str">
        <x:f>IF(OR(T22="",V22=""),"",T22-V22)</x:f>
      </x:c>
      <x:c r="X22" s="38" t="str">
        <x:f>IF(OR(T22="",T22=0,W22=""),"",W22/T22)</x:f>
      </x:c>
      <x:c r="Y22" s="33"/>
      <x:c r="Z22" s="33"/>
      <x:c r="AA22" s="34" t="str">
        <x:f>IF(A22="","",IF(OR(H22="",I22="",J22="",K22="",S22="",T22="",Z22=""),"STOP: 確認不足",IF(W22&lt;=0,"STOP: 利益なし","確認済み")))</x:f>
      </x:c>
      <x:c r="AB22" s="40"/>
      <x:c r="AC22" s="40"/>
      <x:c r="AD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9"/>
      <x:c r="K23" s="33"/>
      <x:c r="L23" s="33"/>
      <x:c r="M23" s="35"/>
      <x:c r="N23" s="35"/>
      <x:c r="O23" s="35"/>
      <x:c r="P23" s="35"/>
      <x:c r="Q23" s="35"/>
      <x:c r="R23" s="35"/>
      <x:c r="S23" s="37" t="str">
        <x:f>IF(OR(A23="",'設定'!$B$4=""),"",'設定'!$B$4)</x:f>
      </x:c>
      <x:c r="T23" s="35"/>
      <x:c r="U23" s="36" t="str">
        <x:f>IF(OR(T23="",S23=""),"",T23*S23)</x:f>
      </x:c>
      <x:c r="V23" s="36" t="str">
        <x:f>IF(OR(A23="",U23=""),"",SUM(M23:R23,U23))</x:f>
      </x:c>
      <x:c r="W23" s="36" t="str">
        <x:f>IF(OR(T23="",V23=""),"",T23-V23)</x:f>
      </x:c>
      <x:c r="X23" s="38" t="str">
        <x:f>IF(OR(T23="",T23=0,W23=""),"",W23/T23)</x:f>
      </x:c>
      <x:c r="Y23" s="33"/>
      <x:c r="Z23" s="33"/>
      <x:c r="AA23" s="34" t="str">
        <x:f>IF(A23="","",IF(OR(H23="",I23="",J23="",K23="",S23="",T23="",Z23=""),"STOP: 確認不足",IF(W23&lt;=0,"STOP: 利益なし","確認済み")))</x:f>
      </x:c>
      <x:c r="AB23" s="40"/>
      <x:c r="AC23" s="40"/>
      <x:c r="AD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9"/>
      <x:c r="K24" s="33"/>
      <x:c r="L24" s="33"/>
      <x:c r="M24" s="35"/>
      <x:c r="N24" s="35"/>
      <x:c r="O24" s="35"/>
      <x:c r="P24" s="35"/>
      <x:c r="Q24" s="35"/>
      <x:c r="R24" s="35"/>
      <x:c r="S24" s="37" t="str">
        <x:f>IF(OR(A24="",'設定'!$B$4=""),"",'設定'!$B$4)</x:f>
      </x:c>
      <x:c r="T24" s="35"/>
      <x:c r="U24" s="36" t="str">
        <x:f>IF(OR(T24="",S24=""),"",T24*S24)</x:f>
      </x:c>
      <x:c r="V24" s="36" t="str">
        <x:f>IF(OR(A24="",U24=""),"",SUM(M24:R24,U24))</x:f>
      </x:c>
      <x:c r="W24" s="36" t="str">
        <x:f>IF(OR(T24="",V24=""),"",T24-V24)</x:f>
      </x:c>
      <x:c r="X24" s="38" t="str">
        <x:f>IF(OR(T24="",T24=0,W24=""),"",W24/T24)</x:f>
      </x:c>
      <x:c r="Y24" s="33"/>
      <x:c r="Z24" s="33"/>
      <x:c r="AA24" s="34" t="str">
        <x:f>IF(A24="","",IF(OR(H24="",I24="",J24="",K24="",S24="",T24="",Z24=""),"STOP: 確認不足",IF(W24&lt;=0,"STOP: 利益なし","確認済み")))</x:f>
      </x:c>
      <x:c r="AB24" s="40"/>
      <x:c r="AC24" s="40"/>
      <x:c r="AD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9"/>
      <x:c r="K25" s="33"/>
      <x:c r="L25" s="33"/>
      <x:c r="M25" s="35"/>
      <x:c r="N25" s="35"/>
      <x:c r="O25" s="35"/>
      <x:c r="P25" s="35"/>
      <x:c r="Q25" s="35"/>
      <x:c r="R25" s="35"/>
      <x:c r="S25" s="37" t="str">
        <x:f>IF(OR(A25="",'設定'!$B$4=""),"",'設定'!$B$4)</x:f>
      </x:c>
      <x:c r="T25" s="35"/>
      <x:c r="U25" s="36" t="str">
        <x:f>IF(OR(T25="",S25=""),"",T25*S25)</x:f>
      </x:c>
      <x:c r="V25" s="36" t="str">
        <x:f>IF(OR(A25="",U25=""),"",SUM(M25:R25,U25))</x:f>
      </x:c>
      <x:c r="W25" s="36" t="str">
        <x:f>IF(OR(T25="",V25=""),"",T25-V25)</x:f>
      </x:c>
      <x:c r="X25" s="38" t="str">
        <x:f>IF(OR(T25="",T25=0,W25=""),"",W25/T25)</x:f>
      </x:c>
      <x:c r="Y25" s="33"/>
      <x:c r="Z25" s="33"/>
      <x:c r="AA25" s="34" t="str">
        <x:f>IF(A25="","",IF(OR(H25="",I25="",J25="",K25="",S25="",T25="",Z25=""),"STOP: 確認不足",IF(W25&lt;=0,"STOP: 利益なし","確認済み")))</x:f>
      </x:c>
      <x:c r="AB25" s="40"/>
      <x:c r="AC25" s="40"/>
      <x:c r="AD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9"/>
      <x:c r="K26" s="33"/>
      <x:c r="L26" s="33"/>
      <x:c r="M26" s="35"/>
      <x:c r="N26" s="35"/>
      <x:c r="O26" s="35"/>
      <x:c r="P26" s="35"/>
      <x:c r="Q26" s="35"/>
      <x:c r="R26" s="35"/>
      <x:c r="S26" s="37" t="str">
        <x:f>IF(OR(A26="",'設定'!$B$4=""),"",'設定'!$B$4)</x:f>
      </x:c>
      <x:c r="T26" s="35"/>
      <x:c r="U26" s="36" t="str">
        <x:f>IF(OR(T26="",S26=""),"",T26*S26)</x:f>
      </x:c>
      <x:c r="V26" s="36" t="str">
        <x:f>IF(OR(A26="",U26=""),"",SUM(M26:R26,U26))</x:f>
      </x:c>
      <x:c r="W26" s="36" t="str">
        <x:f>IF(OR(T26="",V26=""),"",T26-V26)</x:f>
      </x:c>
      <x:c r="X26" s="38" t="str">
        <x:f>IF(OR(T26="",T26=0,W26=""),"",W26/T26)</x:f>
      </x:c>
      <x:c r="Y26" s="33"/>
      <x:c r="Z26" s="33"/>
      <x:c r="AA26" s="34" t="str">
        <x:f>IF(A26="","",IF(OR(H26="",I26="",J26="",K26="",S26="",T26="",Z26=""),"STOP: 確認不足",IF(W26&lt;=0,"STOP: 利益なし","確認済み")))</x:f>
      </x:c>
      <x:c r="AB26" s="40"/>
      <x:c r="AC26" s="40"/>
      <x:c r="AD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9"/>
      <x:c r="K27" s="33"/>
      <x:c r="L27" s="33"/>
      <x:c r="M27" s="35"/>
      <x:c r="N27" s="35"/>
      <x:c r="O27" s="35"/>
      <x:c r="P27" s="35"/>
      <x:c r="Q27" s="35"/>
      <x:c r="R27" s="35"/>
      <x:c r="S27" s="37" t="str">
        <x:f>IF(OR(A27="",'設定'!$B$4=""),"",'設定'!$B$4)</x:f>
      </x:c>
      <x:c r="T27" s="35"/>
      <x:c r="U27" s="36" t="str">
        <x:f>IF(OR(T27="",S27=""),"",T27*S27)</x:f>
      </x:c>
      <x:c r="V27" s="36" t="str">
        <x:f>IF(OR(A27="",U27=""),"",SUM(M27:R27,U27))</x:f>
      </x:c>
      <x:c r="W27" s="36" t="str">
        <x:f>IF(OR(T27="",V27=""),"",T27-V27)</x:f>
      </x:c>
      <x:c r="X27" s="38" t="str">
        <x:f>IF(OR(T27="",T27=0,W27=""),"",W27/T27)</x:f>
      </x:c>
      <x:c r="Y27" s="33"/>
      <x:c r="Z27" s="33"/>
      <x:c r="AA27" s="34" t="str">
        <x:f>IF(A27="","",IF(OR(H27="",I27="",J27="",K27="",S27="",T27="",Z27=""),"STOP: 確認不足",IF(W27&lt;=0,"STOP: 利益なし","確認済み")))</x:f>
      </x:c>
      <x:c r="AB27" s="40"/>
      <x:c r="AC27" s="40"/>
      <x:c r="AD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9"/>
      <x:c r="K28" s="33"/>
      <x:c r="L28" s="33"/>
      <x:c r="M28" s="35"/>
      <x:c r="N28" s="35"/>
      <x:c r="O28" s="35"/>
      <x:c r="P28" s="35"/>
      <x:c r="Q28" s="35"/>
      <x:c r="R28" s="35"/>
      <x:c r="S28" s="37" t="str">
        <x:f>IF(OR(A28="",'設定'!$B$4=""),"",'設定'!$B$4)</x:f>
      </x:c>
      <x:c r="T28" s="35"/>
      <x:c r="U28" s="36" t="str">
        <x:f>IF(OR(T28="",S28=""),"",T28*S28)</x:f>
      </x:c>
      <x:c r="V28" s="36" t="str">
        <x:f>IF(OR(A28="",U28=""),"",SUM(M28:R28,U28))</x:f>
      </x:c>
      <x:c r="W28" s="36" t="str">
        <x:f>IF(OR(T28="",V28=""),"",T28-V28)</x:f>
      </x:c>
      <x:c r="X28" s="38" t="str">
        <x:f>IF(OR(T28="",T28=0,W28=""),"",W28/T28)</x:f>
      </x:c>
      <x:c r="Y28" s="33"/>
      <x:c r="Z28" s="33"/>
      <x:c r="AA28" s="34" t="str">
        <x:f>IF(A28="","",IF(OR(H28="",I28="",J28="",K28="",S28="",T28="",Z28=""),"STOP: 確認不足",IF(W28&lt;=0,"STOP: 利益なし","確認済み")))</x:f>
      </x:c>
      <x:c r="AB28" s="40"/>
      <x:c r="AC28" s="40"/>
      <x:c r="AD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9"/>
      <x:c r="K29" s="33"/>
      <x:c r="L29" s="33"/>
      <x:c r="M29" s="35"/>
      <x:c r="N29" s="35"/>
      <x:c r="O29" s="35"/>
      <x:c r="P29" s="35"/>
      <x:c r="Q29" s="35"/>
      <x:c r="R29" s="35"/>
      <x:c r="S29" s="37" t="str">
        <x:f>IF(OR(A29="",'設定'!$B$4=""),"",'設定'!$B$4)</x:f>
      </x:c>
      <x:c r="T29" s="35"/>
      <x:c r="U29" s="36" t="str">
        <x:f>IF(OR(T29="",S29=""),"",T29*S29)</x:f>
      </x:c>
      <x:c r="V29" s="36" t="str">
        <x:f>IF(OR(A29="",U29=""),"",SUM(M29:R29,U29))</x:f>
      </x:c>
      <x:c r="W29" s="36" t="str">
        <x:f>IF(OR(T29="",V29=""),"",T29-V29)</x:f>
      </x:c>
      <x:c r="X29" s="38" t="str">
        <x:f>IF(OR(T29="",T29=0,W29=""),"",W29/T29)</x:f>
      </x:c>
      <x:c r="Y29" s="33"/>
      <x:c r="Z29" s="33"/>
      <x:c r="AA29" s="34" t="str">
        <x:f>IF(A29="","",IF(OR(H29="",I29="",J29="",K29="",S29="",T29="",Z29=""),"STOP: 確認不足",IF(W29&lt;=0,"STOP: 利益なし","確認済み")))</x:f>
      </x:c>
      <x:c r="AB29" s="40"/>
      <x:c r="AC29" s="40"/>
      <x:c r="AD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9"/>
      <x:c r="K30" s="33"/>
      <x:c r="L30" s="33"/>
      <x:c r="M30" s="35"/>
      <x:c r="N30" s="35"/>
      <x:c r="O30" s="35"/>
      <x:c r="P30" s="35"/>
      <x:c r="Q30" s="35"/>
      <x:c r="R30" s="35"/>
      <x:c r="S30" s="37" t="str">
        <x:f>IF(OR(A30="",'設定'!$B$4=""),"",'設定'!$B$4)</x:f>
      </x:c>
      <x:c r="T30" s="35"/>
      <x:c r="U30" s="36" t="str">
        <x:f>IF(OR(T30="",S30=""),"",T30*S30)</x:f>
      </x:c>
      <x:c r="V30" s="36" t="str">
        <x:f>IF(OR(A30="",U30=""),"",SUM(M30:R30,U30))</x:f>
      </x:c>
      <x:c r="W30" s="36" t="str">
        <x:f>IF(OR(T30="",V30=""),"",T30-V30)</x:f>
      </x:c>
      <x:c r="X30" s="38" t="str">
        <x:f>IF(OR(T30="",T30=0,W30=""),"",W30/T30)</x:f>
      </x:c>
      <x:c r="Y30" s="33"/>
      <x:c r="Z30" s="33"/>
      <x:c r="AA30" s="34" t="str">
        <x:f>IF(A30="","",IF(OR(H30="",I30="",J30="",K30="",S30="",T30="",Z30=""),"STOP: 確認不足",IF(W30&lt;=0,"STOP: 利益なし","確認済み")))</x:f>
      </x:c>
      <x:c r="AB30" s="40"/>
      <x:c r="AC30" s="40"/>
      <x:c r="AD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9"/>
      <x:c r="K31" s="33"/>
      <x:c r="L31" s="33"/>
      <x:c r="M31" s="35"/>
      <x:c r="N31" s="35"/>
      <x:c r="O31" s="35"/>
      <x:c r="P31" s="35"/>
      <x:c r="Q31" s="35"/>
      <x:c r="R31" s="35"/>
      <x:c r="S31" s="37" t="str">
        <x:f>IF(OR(A31="",'設定'!$B$4=""),"",'設定'!$B$4)</x:f>
      </x:c>
      <x:c r="T31" s="35"/>
      <x:c r="U31" s="36" t="str">
        <x:f>IF(OR(T31="",S31=""),"",T31*S31)</x:f>
      </x:c>
      <x:c r="V31" s="36" t="str">
        <x:f>IF(OR(A31="",U31=""),"",SUM(M31:R31,U31))</x:f>
      </x:c>
      <x:c r="W31" s="36" t="str">
        <x:f>IF(OR(T31="",V31=""),"",T31-V31)</x:f>
      </x:c>
      <x:c r="X31" s="38" t="str">
        <x:f>IF(OR(T31="",T31=0,W31=""),"",W31/T31)</x:f>
      </x:c>
      <x:c r="Y31" s="33"/>
      <x:c r="Z31" s="33"/>
      <x:c r="AA31" s="34" t="str">
        <x:f>IF(A31="","",IF(OR(H31="",I31="",J31="",K31="",S31="",T31="",Z31=""),"STOP: 確認不足",IF(W31&lt;=0,"STOP: 利益なし","確認済み")))</x:f>
      </x:c>
      <x:c r="AB31" s="40"/>
      <x:c r="AC31" s="40"/>
      <x:c r="AD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9"/>
      <x:c r="K32" s="33"/>
      <x:c r="L32" s="33"/>
      <x:c r="M32" s="35"/>
      <x:c r="N32" s="35"/>
      <x:c r="O32" s="35"/>
      <x:c r="P32" s="35"/>
      <x:c r="Q32" s="35"/>
      <x:c r="R32" s="35"/>
      <x:c r="S32" s="37" t="str">
        <x:f>IF(OR(A32="",'設定'!$B$4=""),"",'設定'!$B$4)</x:f>
      </x:c>
      <x:c r="T32" s="35"/>
      <x:c r="U32" s="36" t="str">
        <x:f>IF(OR(T32="",S32=""),"",T32*S32)</x:f>
      </x:c>
      <x:c r="V32" s="36" t="str">
        <x:f>IF(OR(A32="",U32=""),"",SUM(M32:R32,U32))</x:f>
      </x:c>
      <x:c r="W32" s="36" t="str">
        <x:f>IF(OR(T32="",V32=""),"",T32-V32)</x:f>
      </x:c>
      <x:c r="X32" s="38" t="str">
        <x:f>IF(OR(T32="",T32=0,W32=""),"",W32/T32)</x:f>
      </x:c>
      <x:c r="Y32" s="33"/>
      <x:c r="Z32" s="33"/>
      <x:c r="AA32" s="34" t="str">
        <x:f>IF(A32="","",IF(OR(H32="",I32="",J32="",K32="",S32="",T32="",Z32=""),"STOP: 確認不足",IF(W32&lt;=0,"STOP: 利益なし","確認済み")))</x:f>
      </x:c>
      <x:c r="AB32" s="40"/>
      <x:c r="AC32" s="40"/>
      <x:c r="AD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9"/>
      <x:c r="K33" s="33"/>
      <x:c r="L33" s="33"/>
      <x:c r="M33" s="35"/>
      <x:c r="N33" s="35"/>
      <x:c r="O33" s="35"/>
      <x:c r="P33" s="35"/>
      <x:c r="Q33" s="35"/>
      <x:c r="R33" s="35"/>
      <x:c r="S33" s="37" t="str">
        <x:f>IF(OR(A33="",'設定'!$B$4=""),"",'設定'!$B$4)</x:f>
      </x:c>
      <x:c r="T33" s="35"/>
      <x:c r="U33" s="36" t="str">
        <x:f>IF(OR(T33="",S33=""),"",T33*S33)</x:f>
      </x:c>
      <x:c r="V33" s="36" t="str">
        <x:f>IF(OR(A33="",U33=""),"",SUM(M33:R33,U33))</x:f>
      </x:c>
      <x:c r="W33" s="36" t="str">
        <x:f>IF(OR(T33="",V33=""),"",T33-V33)</x:f>
      </x:c>
      <x:c r="X33" s="38" t="str">
        <x:f>IF(OR(T33="",T33=0,W33=""),"",W33/T33)</x:f>
      </x:c>
      <x:c r="Y33" s="33"/>
      <x:c r="Z33" s="33"/>
      <x:c r="AA33" s="34" t="str">
        <x:f>IF(A33="","",IF(OR(H33="",I33="",J33="",K33="",S33="",T33="",Z33=""),"STOP: 確認不足",IF(W33&lt;=0,"STOP: 利益なし","確認済み")))</x:f>
      </x:c>
      <x:c r="AB33" s="40"/>
      <x:c r="AC33" s="40"/>
      <x:c r="AD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9"/>
      <x:c r="K34" s="33"/>
      <x:c r="L34" s="33"/>
      <x:c r="M34" s="35"/>
      <x:c r="N34" s="35"/>
      <x:c r="O34" s="35"/>
      <x:c r="P34" s="35"/>
      <x:c r="Q34" s="35"/>
      <x:c r="R34" s="35"/>
      <x:c r="S34" s="37" t="str">
        <x:f>IF(OR(A34="",'設定'!$B$4=""),"",'設定'!$B$4)</x:f>
      </x:c>
      <x:c r="T34" s="35"/>
      <x:c r="U34" s="36" t="str">
        <x:f>IF(OR(T34="",S34=""),"",T34*S34)</x:f>
      </x:c>
      <x:c r="V34" s="36" t="str">
        <x:f>IF(OR(A34="",U34=""),"",SUM(M34:R34,U34))</x:f>
      </x:c>
      <x:c r="W34" s="36" t="str">
        <x:f>IF(OR(T34="",V34=""),"",T34-V34)</x:f>
      </x:c>
      <x:c r="X34" s="38" t="str">
        <x:f>IF(OR(T34="",T34=0,W34=""),"",W34/T34)</x:f>
      </x:c>
      <x:c r="Y34" s="33"/>
      <x:c r="Z34" s="33"/>
      <x:c r="AA34" s="34" t="str">
        <x:f>IF(A34="","",IF(OR(H34="",I34="",J34="",K34="",S34="",T34="",Z34=""),"STOP: 確認不足",IF(W34&lt;=0,"STOP: 利益なし","確認済み")))</x:f>
      </x:c>
      <x:c r="AB34" s="40"/>
      <x:c r="AC34" s="40"/>
      <x:c r="AD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9"/>
      <x:c r="K35" s="33"/>
      <x:c r="L35" s="33"/>
      <x:c r="M35" s="35"/>
      <x:c r="N35" s="35"/>
      <x:c r="O35" s="35"/>
      <x:c r="P35" s="35"/>
      <x:c r="Q35" s="35"/>
      <x:c r="R35" s="35"/>
      <x:c r="S35" s="37" t="str">
        <x:f>IF(OR(A35="",'設定'!$B$4=""),"",'設定'!$B$4)</x:f>
      </x:c>
      <x:c r="T35" s="35"/>
      <x:c r="U35" s="36" t="str">
        <x:f>IF(OR(T35="",S35=""),"",T35*S35)</x:f>
      </x:c>
      <x:c r="V35" s="36" t="str">
        <x:f>IF(OR(A35="",U35=""),"",SUM(M35:R35,U35))</x:f>
      </x:c>
      <x:c r="W35" s="36" t="str">
        <x:f>IF(OR(T35="",V35=""),"",T35-V35)</x:f>
      </x:c>
      <x:c r="X35" s="38" t="str">
        <x:f>IF(OR(T35="",T35=0,W35=""),"",W35/T35)</x:f>
      </x:c>
      <x:c r="Y35" s="33"/>
      <x:c r="Z35" s="33"/>
      <x:c r="AA35" s="34" t="str">
        <x:f>IF(A35="","",IF(OR(H35="",I35="",J35="",K35="",S35="",T35="",Z35=""),"STOP: 確認不足",IF(W35&lt;=0,"STOP: 利益なし","確認済み")))</x:f>
      </x:c>
      <x:c r="AB35" s="40"/>
      <x:c r="AC35" s="40"/>
      <x:c r="AD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9"/>
      <x:c r="K36" s="33"/>
      <x:c r="L36" s="33"/>
      <x:c r="M36" s="35"/>
      <x:c r="N36" s="35"/>
      <x:c r="O36" s="35"/>
      <x:c r="P36" s="35"/>
      <x:c r="Q36" s="35"/>
      <x:c r="R36" s="35"/>
      <x:c r="S36" s="37" t="str">
        <x:f>IF(OR(A36="",'設定'!$B$4=""),"",'設定'!$B$4)</x:f>
      </x:c>
      <x:c r="T36" s="35"/>
      <x:c r="U36" s="36" t="str">
        <x:f>IF(OR(T36="",S36=""),"",T36*S36)</x:f>
      </x:c>
      <x:c r="V36" s="36" t="str">
        <x:f>IF(OR(A36="",U36=""),"",SUM(M36:R36,U36))</x:f>
      </x:c>
      <x:c r="W36" s="36" t="str">
        <x:f>IF(OR(T36="",V36=""),"",T36-V36)</x:f>
      </x:c>
      <x:c r="X36" s="38" t="str">
        <x:f>IF(OR(T36="",T36=0,W36=""),"",W36/T36)</x:f>
      </x:c>
      <x:c r="Y36" s="33"/>
      <x:c r="Z36" s="33"/>
      <x:c r="AA36" s="34" t="str">
        <x:f>IF(A36="","",IF(OR(H36="",I36="",J36="",K36="",S36="",T36="",Z36=""),"STOP: 確認不足",IF(W36&lt;=0,"STOP: 利益なし","確認済み")))</x:f>
      </x:c>
      <x:c r="AB36" s="40"/>
      <x:c r="AC36" s="40"/>
      <x:c r="AD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9"/>
      <x:c r="K37" s="33"/>
      <x:c r="L37" s="33"/>
      <x:c r="M37" s="35"/>
      <x:c r="N37" s="35"/>
      <x:c r="O37" s="35"/>
      <x:c r="P37" s="35"/>
      <x:c r="Q37" s="35"/>
      <x:c r="R37" s="35"/>
      <x:c r="S37" s="37" t="str">
        <x:f>IF(OR(A37="",'設定'!$B$4=""),"",'設定'!$B$4)</x:f>
      </x:c>
      <x:c r="T37" s="35"/>
      <x:c r="U37" s="36" t="str">
        <x:f>IF(OR(T37="",S37=""),"",T37*S37)</x:f>
      </x:c>
      <x:c r="V37" s="36" t="str">
        <x:f>IF(OR(A37="",U37=""),"",SUM(M37:R37,U37))</x:f>
      </x:c>
      <x:c r="W37" s="36" t="str">
        <x:f>IF(OR(T37="",V37=""),"",T37-V37)</x:f>
      </x:c>
      <x:c r="X37" s="38" t="str">
        <x:f>IF(OR(T37="",T37=0,W37=""),"",W37/T37)</x:f>
      </x:c>
      <x:c r="Y37" s="33"/>
      <x:c r="Z37" s="33"/>
      <x:c r="AA37" s="34" t="str">
        <x:f>IF(A37="","",IF(OR(H37="",I37="",J37="",K37="",S37="",T37="",Z37=""),"STOP: 確認不足",IF(W37&lt;=0,"STOP: 利益なし","確認済み")))</x:f>
      </x:c>
      <x:c r="AB37" s="40"/>
      <x:c r="AC37" s="40"/>
      <x:c r="AD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9"/>
      <x:c r="K38" s="33"/>
      <x:c r="L38" s="33"/>
      <x:c r="M38" s="35"/>
      <x:c r="N38" s="35"/>
      <x:c r="O38" s="35"/>
      <x:c r="P38" s="35"/>
      <x:c r="Q38" s="35"/>
      <x:c r="R38" s="35"/>
      <x:c r="S38" s="37" t="str">
        <x:f>IF(OR(A38="",'設定'!$B$4=""),"",'設定'!$B$4)</x:f>
      </x:c>
      <x:c r="T38" s="35"/>
      <x:c r="U38" s="36" t="str">
        <x:f>IF(OR(T38="",S38=""),"",T38*S38)</x:f>
      </x:c>
      <x:c r="V38" s="36" t="str">
        <x:f>IF(OR(A38="",U38=""),"",SUM(M38:R38,U38))</x:f>
      </x:c>
      <x:c r="W38" s="36" t="str">
        <x:f>IF(OR(T38="",V38=""),"",T38-V38)</x:f>
      </x:c>
      <x:c r="X38" s="38" t="str">
        <x:f>IF(OR(T38="",T38=0,W38=""),"",W38/T38)</x:f>
      </x:c>
      <x:c r="Y38" s="33"/>
      <x:c r="Z38" s="33"/>
      <x:c r="AA38" s="34" t="str">
        <x:f>IF(A38="","",IF(OR(H38="",I38="",J38="",K38="",S38="",T38="",Z38=""),"STOP: 確認不足",IF(W38&lt;=0,"STOP: 利益なし","確認済み")))</x:f>
      </x:c>
      <x:c r="AB38" s="40"/>
      <x:c r="AC38" s="40"/>
      <x:c r="AD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9"/>
      <x:c r="K39" s="33"/>
      <x:c r="L39" s="33"/>
      <x:c r="M39" s="35"/>
      <x:c r="N39" s="35"/>
      <x:c r="O39" s="35"/>
      <x:c r="P39" s="35"/>
      <x:c r="Q39" s="35"/>
      <x:c r="R39" s="35"/>
      <x:c r="S39" s="37" t="str">
        <x:f>IF(OR(A39="",'設定'!$B$4=""),"",'設定'!$B$4)</x:f>
      </x:c>
      <x:c r="T39" s="35"/>
      <x:c r="U39" s="36" t="str">
        <x:f>IF(OR(T39="",S39=""),"",T39*S39)</x:f>
      </x:c>
      <x:c r="V39" s="36" t="str">
        <x:f>IF(OR(A39="",U39=""),"",SUM(M39:R39,U39))</x:f>
      </x:c>
      <x:c r="W39" s="36" t="str">
        <x:f>IF(OR(T39="",V39=""),"",T39-V39)</x:f>
      </x:c>
      <x:c r="X39" s="38" t="str">
        <x:f>IF(OR(T39="",T39=0,W39=""),"",W39/T39)</x:f>
      </x:c>
      <x:c r="Y39" s="33"/>
      <x:c r="Z39" s="33"/>
      <x:c r="AA39" s="34" t="str">
        <x:f>IF(A39="","",IF(OR(H39="",I39="",J39="",K39="",S39="",T39="",Z39=""),"STOP: 確認不足",IF(W39&lt;=0,"STOP: 利益なし","確認済み")))</x:f>
      </x:c>
      <x:c r="AB39" s="40"/>
      <x:c r="AC39" s="40"/>
      <x:c r="AD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9"/>
      <x:c r="K40" s="33"/>
      <x:c r="L40" s="33"/>
      <x:c r="M40" s="35"/>
      <x:c r="N40" s="35"/>
      <x:c r="O40" s="35"/>
      <x:c r="P40" s="35"/>
      <x:c r="Q40" s="35"/>
      <x:c r="R40" s="35"/>
      <x:c r="S40" s="37" t="str">
        <x:f>IF(OR(A40="",'設定'!$B$4=""),"",'設定'!$B$4)</x:f>
      </x:c>
      <x:c r="T40" s="35"/>
      <x:c r="U40" s="36" t="str">
        <x:f>IF(OR(T40="",S40=""),"",T40*S40)</x:f>
      </x:c>
      <x:c r="V40" s="36" t="str">
        <x:f>IF(OR(A40="",U40=""),"",SUM(M40:R40,U40))</x:f>
      </x:c>
      <x:c r="W40" s="36" t="str">
        <x:f>IF(OR(T40="",V40=""),"",T40-V40)</x:f>
      </x:c>
      <x:c r="X40" s="38" t="str">
        <x:f>IF(OR(T40="",T40=0,W40=""),"",W40/T40)</x:f>
      </x:c>
      <x:c r="Y40" s="33"/>
      <x:c r="Z40" s="33"/>
      <x:c r="AA40" s="34" t="str">
        <x:f>IF(A40="","",IF(OR(H40="",I40="",J40="",K40="",S40="",T40="",Z40=""),"STOP: 確認不足",IF(W40&lt;=0,"STOP: 利益なし","確認済み")))</x:f>
      </x:c>
      <x:c r="AB40" s="40"/>
      <x:c r="AC40" s="40"/>
      <x:c r="AD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9"/>
      <x:c r="K41" s="33"/>
      <x:c r="L41" s="33"/>
      <x:c r="M41" s="35"/>
      <x:c r="N41" s="35"/>
      <x:c r="O41" s="35"/>
      <x:c r="P41" s="35"/>
      <x:c r="Q41" s="35"/>
      <x:c r="R41" s="35"/>
      <x:c r="S41" s="37" t="str">
        <x:f>IF(OR(A41="",'設定'!$B$4=""),"",'設定'!$B$4)</x:f>
      </x:c>
      <x:c r="T41" s="35"/>
      <x:c r="U41" s="36" t="str">
        <x:f>IF(OR(T41="",S41=""),"",T41*S41)</x:f>
      </x:c>
      <x:c r="V41" s="36" t="str">
        <x:f>IF(OR(A41="",U41=""),"",SUM(M41:R41,U41))</x:f>
      </x:c>
      <x:c r="W41" s="36" t="str">
        <x:f>IF(OR(T41="",V41=""),"",T41-V41)</x:f>
      </x:c>
      <x:c r="X41" s="38" t="str">
        <x:f>IF(OR(T41="",T41=0,W41=""),"",W41/T41)</x:f>
      </x:c>
      <x:c r="Y41" s="33"/>
      <x:c r="Z41" s="33"/>
      <x:c r="AA41" s="34" t="str">
        <x:f>IF(A41="","",IF(OR(H41="",I41="",J41="",K41="",S41="",T41="",Z41=""),"STOP: 確認不足",IF(W41&lt;=0,"STOP: 利益なし","確認済み")))</x:f>
      </x:c>
      <x:c r="AB41" s="40"/>
      <x:c r="AC41" s="40"/>
      <x:c r="AD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9"/>
      <x:c r="K42" s="33"/>
      <x:c r="L42" s="33"/>
      <x:c r="M42" s="35"/>
      <x:c r="N42" s="35"/>
      <x:c r="O42" s="35"/>
      <x:c r="P42" s="35"/>
      <x:c r="Q42" s="35"/>
      <x:c r="R42" s="35"/>
      <x:c r="S42" s="37" t="str">
        <x:f>IF(OR(A42="",'設定'!$B$4=""),"",'設定'!$B$4)</x:f>
      </x:c>
      <x:c r="T42" s="35"/>
      <x:c r="U42" s="36" t="str">
        <x:f>IF(OR(T42="",S42=""),"",T42*S42)</x:f>
      </x:c>
      <x:c r="V42" s="36" t="str">
        <x:f>IF(OR(A42="",U42=""),"",SUM(M42:R42,U42))</x:f>
      </x:c>
      <x:c r="W42" s="36" t="str">
        <x:f>IF(OR(T42="",V42=""),"",T42-V42)</x:f>
      </x:c>
      <x:c r="X42" s="38" t="str">
        <x:f>IF(OR(T42="",T42=0,W42=""),"",W42/T42)</x:f>
      </x:c>
      <x:c r="Y42" s="33"/>
      <x:c r="Z42" s="33"/>
      <x:c r="AA42" s="34" t="str">
        <x:f>IF(A42="","",IF(OR(H42="",I42="",J42="",K42="",S42="",T42="",Z42=""),"STOP: 確認不足",IF(W42&lt;=0,"STOP: 利益なし","確認済み")))</x:f>
      </x:c>
      <x:c r="AB42" s="40"/>
      <x:c r="AC42" s="40"/>
      <x:c r="AD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9"/>
      <x:c r="K43" s="33"/>
      <x:c r="L43" s="33"/>
      <x:c r="M43" s="35"/>
      <x:c r="N43" s="35"/>
      <x:c r="O43" s="35"/>
      <x:c r="P43" s="35"/>
      <x:c r="Q43" s="35"/>
      <x:c r="R43" s="35"/>
      <x:c r="S43" s="37" t="str">
        <x:f>IF(OR(A43="",'設定'!$B$4=""),"",'設定'!$B$4)</x:f>
      </x:c>
      <x:c r="T43" s="35"/>
      <x:c r="U43" s="36" t="str">
        <x:f>IF(OR(T43="",S43=""),"",T43*S43)</x:f>
      </x:c>
      <x:c r="V43" s="36" t="str">
        <x:f>IF(OR(A43="",U43=""),"",SUM(M43:R43,U43))</x:f>
      </x:c>
      <x:c r="W43" s="36" t="str">
        <x:f>IF(OR(T43="",V43=""),"",T43-V43)</x:f>
      </x:c>
      <x:c r="X43" s="38" t="str">
        <x:f>IF(OR(T43="",T43=0,W43=""),"",W43/T43)</x:f>
      </x:c>
      <x:c r="Y43" s="33"/>
      <x:c r="Z43" s="33"/>
      <x:c r="AA43" s="34" t="str">
        <x:f>IF(A43="","",IF(OR(H43="",I43="",J43="",K43="",S43="",T43="",Z43=""),"STOP: 確認不足",IF(W43&lt;=0,"STOP: 利益なし","確認済み")))</x:f>
      </x:c>
      <x:c r="AB43" s="40"/>
      <x:c r="AC43" s="40"/>
      <x:c r="AD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9"/>
      <x:c r="K44" s="33"/>
      <x:c r="L44" s="33"/>
      <x:c r="M44" s="35"/>
      <x:c r="N44" s="35"/>
      <x:c r="O44" s="35"/>
      <x:c r="P44" s="35"/>
      <x:c r="Q44" s="35"/>
      <x:c r="R44" s="35"/>
      <x:c r="S44" s="37" t="str">
        <x:f>IF(OR(A44="",'設定'!$B$4=""),"",'設定'!$B$4)</x:f>
      </x:c>
      <x:c r="T44" s="35"/>
      <x:c r="U44" s="36" t="str">
        <x:f>IF(OR(T44="",S44=""),"",T44*S44)</x:f>
      </x:c>
      <x:c r="V44" s="36" t="str">
        <x:f>IF(OR(A44="",U44=""),"",SUM(M44:R44,U44))</x:f>
      </x:c>
      <x:c r="W44" s="36" t="str">
        <x:f>IF(OR(T44="",V44=""),"",T44-V44)</x:f>
      </x:c>
      <x:c r="X44" s="38" t="str">
        <x:f>IF(OR(T44="",T44=0,W44=""),"",W44/T44)</x:f>
      </x:c>
      <x:c r="Y44" s="33"/>
      <x:c r="Z44" s="33"/>
      <x:c r="AA44" s="34" t="str">
        <x:f>IF(A44="","",IF(OR(H44="",I44="",J44="",K44="",S44="",T44="",Z44=""),"STOP: 確認不足",IF(W44&lt;=0,"STOP: 利益なし","確認済み")))</x:f>
      </x:c>
      <x:c r="AB44" s="40"/>
      <x:c r="AC44" s="40"/>
      <x:c r="AD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9"/>
      <x:c r="K45" s="33"/>
      <x:c r="L45" s="33"/>
      <x:c r="M45" s="35"/>
      <x:c r="N45" s="35"/>
      <x:c r="O45" s="35"/>
      <x:c r="P45" s="35"/>
      <x:c r="Q45" s="35"/>
      <x:c r="R45" s="35"/>
      <x:c r="S45" s="37" t="str">
        <x:f>IF(OR(A45="",'設定'!$B$4=""),"",'設定'!$B$4)</x:f>
      </x:c>
      <x:c r="T45" s="35"/>
      <x:c r="U45" s="36" t="str">
        <x:f>IF(OR(T45="",S45=""),"",T45*S45)</x:f>
      </x:c>
      <x:c r="V45" s="36" t="str">
        <x:f>IF(OR(A45="",U45=""),"",SUM(M45:R45,U45))</x:f>
      </x:c>
      <x:c r="W45" s="36" t="str">
        <x:f>IF(OR(T45="",V45=""),"",T45-V45)</x:f>
      </x:c>
      <x:c r="X45" s="38" t="str">
        <x:f>IF(OR(T45="",T45=0,W45=""),"",W45/T45)</x:f>
      </x:c>
      <x:c r="Y45" s="33"/>
      <x:c r="Z45" s="33"/>
      <x:c r="AA45" s="34" t="str">
        <x:f>IF(A45="","",IF(OR(H45="",I45="",J45="",K45="",S45="",T45="",Z45=""),"STOP: 確認不足",IF(W45&lt;=0,"STOP: 利益なし","確認済み")))</x:f>
      </x:c>
      <x:c r="AB45" s="40"/>
      <x:c r="AC45" s="40"/>
      <x:c r="AD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9"/>
      <x:c r="K46" s="33"/>
      <x:c r="L46" s="33"/>
      <x:c r="M46" s="35"/>
      <x:c r="N46" s="35"/>
      <x:c r="O46" s="35"/>
      <x:c r="P46" s="35"/>
      <x:c r="Q46" s="35"/>
      <x:c r="R46" s="35"/>
      <x:c r="S46" s="37" t="str">
        <x:f>IF(OR(A46="",'設定'!$B$4=""),"",'設定'!$B$4)</x:f>
      </x:c>
      <x:c r="T46" s="35"/>
      <x:c r="U46" s="36" t="str">
        <x:f>IF(OR(T46="",S46=""),"",T46*S46)</x:f>
      </x:c>
      <x:c r="V46" s="36" t="str">
        <x:f>IF(OR(A46="",U46=""),"",SUM(M46:R46,U46))</x:f>
      </x:c>
      <x:c r="W46" s="36" t="str">
        <x:f>IF(OR(T46="",V46=""),"",T46-V46)</x:f>
      </x:c>
      <x:c r="X46" s="38" t="str">
        <x:f>IF(OR(T46="",T46=0,W46=""),"",W46/T46)</x:f>
      </x:c>
      <x:c r="Y46" s="33"/>
      <x:c r="Z46" s="33"/>
      <x:c r="AA46" s="34" t="str">
        <x:f>IF(A46="","",IF(OR(H46="",I46="",J46="",K46="",S46="",T46="",Z46=""),"STOP: 確認不足",IF(W46&lt;=0,"STOP: 利益なし","確認済み")))</x:f>
      </x:c>
      <x:c r="AB46" s="40"/>
      <x:c r="AC46" s="40"/>
      <x:c r="AD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9"/>
      <x:c r="K47" s="33"/>
      <x:c r="L47" s="33"/>
      <x:c r="M47" s="35"/>
      <x:c r="N47" s="35"/>
      <x:c r="O47" s="35"/>
      <x:c r="P47" s="35"/>
      <x:c r="Q47" s="35"/>
      <x:c r="R47" s="35"/>
      <x:c r="S47" s="37" t="str">
        <x:f>IF(OR(A47="",'設定'!$B$4=""),"",'設定'!$B$4)</x:f>
      </x:c>
      <x:c r="T47" s="35"/>
      <x:c r="U47" s="36" t="str">
        <x:f>IF(OR(T47="",S47=""),"",T47*S47)</x:f>
      </x:c>
      <x:c r="V47" s="36" t="str">
        <x:f>IF(OR(A47="",U47=""),"",SUM(M47:R47,U47))</x:f>
      </x:c>
      <x:c r="W47" s="36" t="str">
        <x:f>IF(OR(T47="",V47=""),"",T47-V47)</x:f>
      </x:c>
      <x:c r="X47" s="38" t="str">
        <x:f>IF(OR(T47="",T47=0,W47=""),"",W47/T47)</x:f>
      </x:c>
      <x:c r="Y47" s="33"/>
      <x:c r="Z47" s="33"/>
      <x:c r="AA47" s="34" t="str">
        <x:f>IF(A47="","",IF(OR(H47="",I47="",J47="",K47="",S47="",T47="",Z47=""),"STOP: 確認不足",IF(W47&lt;=0,"STOP: 利益なし","確認済み")))</x:f>
      </x:c>
      <x:c r="AB47" s="40"/>
      <x:c r="AC47" s="40"/>
      <x:c r="AD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9"/>
      <x:c r="K48" s="33"/>
      <x:c r="L48" s="33"/>
      <x:c r="M48" s="35"/>
      <x:c r="N48" s="35"/>
      <x:c r="O48" s="35"/>
      <x:c r="P48" s="35"/>
      <x:c r="Q48" s="35"/>
      <x:c r="R48" s="35"/>
      <x:c r="S48" s="37" t="str">
        <x:f>IF(OR(A48="",'設定'!$B$4=""),"",'設定'!$B$4)</x:f>
      </x:c>
      <x:c r="T48" s="35"/>
      <x:c r="U48" s="36" t="str">
        <x:f>IF(OR(T48="",S48=""),"",T48*S48)</x:f>
      </x:c>
      <x:c r="V48" s="36" t="str">
        <x:f>IF(OR(A48="",U48=""),"",SUM(M48:R48,U48))</x:f>
      </x:c>
      <x:c r="W48" s="36" t="str">
        <x:f>IF(OR(T48="",V48=""),"",T48-V48)</x:f>
      </x:c>
      <x:c r="X48" s="38" t="str">
        <x:f>IF(OR(T48="",T48=0,W48=""),"",W48/T48)</x:f>
      </x:c>
      <x:c r="Y48" s="33"/>
      <x:c r="Z48" s="33"/>
      <x:c r="AA48" s="34" t="str">
        <x:f>IF(A48="","",IF(OR(H48="",I48="",J48="",K48="",S48="",T48="",Z48=""),"STOP: 確認不足",IF(W48&lt;=0,"STOP: 利益なし","確認済み")))</x:f>
      </x:c>
      <x:c r="AB48" s="40"/>
      <x:c r="AC48" s="40"/>
      <x:c r="AD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9"/>
      <x:c r="K49" s="33"/>
      <x:c r="L49" s="33"/>
      <x:c r="M49" s="35"/>
      <x:c r="N49" s="35"/>
      <x:c r="O49" s="35"/>
      <x:c r="P49" s="35"/>
      <x:c r="Q49" s="35"/>
      <x:c r="R49" s="35"/>
      <x:c r="S49" s="37" t="str">
        <x:f>IF(OR(A49="",'設定'!$B$4=""),"",'設定'!$B$4)</x:f>
      </x:c>
      <x:c r="T49" s="35"/>
      <x:c r="U49" s="36" t="str">
        <x:f>IF(OR(T49="",S49=""),"",T49*S49)</x:f>
      </x:c>
      <x:c r="V49" s="36" t="str">
        <x:f>IF(OR(A49="",U49=""),"",SUM(M49:R49,U49))</x:f>
      </x:c>
      <x:c r="W49" s="36" t="str">
        <x:f>IF(OR(T49="",V49=""),"",T49-V49)</x:f>
      </x:c>
      <x:c r="X49" s="38" t="str">
        <x:f>IF(OR(T49="",T49=0,W49=""),"",W49/T49)</x:f>
      </x:c>
      <x:c r="Y49" s="33"/>
      <x:c r="Z49" s="33"/>
      <x:c r="AA49" s="34" t="str">
        <x:f>IF(A49="","",IF(OR(H49="",I49="",J49="",K49="",S49="",T49="",Z49=""),"STOP: 確認不足",IF(W49&lt;=0,"STOP: 利益なし","確認済み")))</x:f>
      </x:c>
      <x:c r="AB49" s="40"/>
      <x:c r="AC49" s="40"/>
      <x:c r="AD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9"/>
      <x:c r="K50" s="33"/>
      <x:c r="L50" s="33"/>
      <x:c r="M50" s="35"/>
      <x:c r="N50" s="35"/>
      <x:c r="O50" s="35"/>
      <x:c r="P50" s="35"/>
      <x:c r="Q50" s="35"/>
      <x:c r="R50" s="35"/>
      <x:c r="S50" s="37" t="str">
        <x:f>IF(OR(A50="",'設定'!$B$4=""),"",'設定'!$B$4)</x:f>
      </x:c>
      <x:c r="T50" s="35"/>
      <x:c r="U50" s="36" t="str">
        <x:f>IF(OR(T50="",S50=""),"",T50*S50)</x:f>
      </x:c>
      <x:c r="V50" s="36" t="str">
        <x:f>IF(OR(A50="",U50=""),"",SUM(M50:R50,U50))</x:f>
      </x:c>
      <x:c r="W50" s="36" t="str">
        <x:f>IF(OR(T50="",V50=""),"",T50-V50)</x:f>
      </x:c>
      <x:c r="X50" s="38" t="str">
        <x:f>IF(OR(T50="",T50=0,W50=""),"",W50/T50)</x:f>
      </x:c>
      <x:c r="Y50" s="33"/>
      <x:c r="Z50" s="33"/>
      <x:c r="AA50" s="34" t="str">
        <x:f>IF(A50="","",IF(OR(H50="",I50="",J50="",K50="",S50="",T50="",Z50=""),"STOP: 確認不足",IF(W50&lt;=0,"STOP: 利益なし","確認済み")))</x:f>
      </x:c>
      <x:c r="AB50" s="40"/>
      <x:c r="AC50" s="40"/>
      <x:c r="AD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9"/>
      <x:c r="K51" s="33"/>
      <x:c r="L51" s="33"/>
      <x:c r="M51" s="35"/>
      <x:c r="N51" s="35"/>
      <x:c r="O51" s="35"/>
      <x:c r="P51" s="35"/>
      <x:c r="Q51" s="35"/>
      <x:c r="R51" s="35"/>
      <x:c r="S51" s="37" t="str">
        <x:f>IF(OR(A51="",'設定'!$B$4=""),"",'設定'!$B$4)</x:f>
      </x:c>
      <x:c r="T51" s="35"/>
      <x:c r="U51" s="36" t="str">
        <x:f>IF(OR(T51="",S51=""),"",T51*S51)</x:f>
      </x:c>
      <x:c r="V51" s="36" t="str">
        <x:f>IF(OR(A51="",U51=""),"",SUM(M51:R51,U51))</x:f>
      </x:c>
      <x:c r="W51" s="36" t="str">
        <x:f>IF(OR(T51="",V51=""),"",T51-V51)</x:f>
      </x:c>
      <x:c r="X51" s="38" t="str">
        <x:f>IF(OR(T51="",T51=0,W51=""),"",W51/T51)</x:f>
      </x:c>
      <x:c r="Y51" s="33"/>
      <x:c r="Z51" s="33"/>
      <x:c r="AA51" s="34" t="str">
        <x:f>IF(A51="","",IF(OR(H51="",I51="",J51="",K51="",S51="",T51="",Z51=""),"STOP: 確認不足",IF(W51&lt;=0,"STOP: 利益なし","確認済み")))</x:f>
      </x:c>
      <x:c r="AB51" s="40"/>
      <x:c r="AC51" s="40"/>
      <x:c r="AD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9"/>
      <x:c r="K52" s="33"/>
      <x:c r="L52" s="33"/>
      <x:c r="M52" s="35"/>
      <x:c r="N52" s="35"/>
      <x:c r="O52" s="35"/>
      <x:c r="P52" s="35"/>
      <x:c r="Q52" s="35"/>
      <x:c r="R52" s="35"/>
      <x:c r="S52" s="37" t="str">
        <x:f>IF(OR(A52="",'設定'!$B$4=""),"",'設定'!$B$4)</x:f>
      </x:c>
      <x:c r="T52" s="35"/>
      <x:c r="U52" s="36" t="str">
        <x:f>IF(OR(T52="",S52=""),"",T52*S52)</x:f>
      </x:c>
      <x:c r="V52" s="36" t="str">
        <x:f>IF(OR(A52="",U52=""),"",SUM(M52:R52,U52))</x:f>
      </x:c>
      <x:c r="W52" s="36" t="str">
        <x:f>IF(OR(T52="",V52=""),"",T52-V52)</x:f>
      </x:c>
      <x:c r="X52" s="38" t="str">
        <x:f>IF(OR(T52="",T52=0,W52=""),"",W52/T52)</x:f>
      </x:c>
      <x:c r="Y52" s="33"/>
      <x:c r="Z52" s="33"/>
      <x:c r="AA52" s="34" t="str">
        <x:f>IF(A52="","",IF(OR(H52="",I52="",J52="",K52="",S52="",T52="",Z52=""),"STOP: 確認不足",IF(W52&lt;=0,"STOP: 利益なし","確認済み")))</x:f>
      </x:c>
      <x:c r="AB52" s="40"/>
      <x:c r="AC52" s="40"/>
      <x:c r="AD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9"/>
      <x:c r="K53" s="33"/>
      <x:c r="L53" s="33"/>
      <x:c r="M53" s="35"/>
      <x:c r="N53" s="35"/>
      <x:c r="O53" s="35"/>
      <x:c r="P53" s="35"/>
      <x:c r="Q53" s="35"/>
      <x:c r="R53" s="35"/>
      <x:c r="S53" s="37" t="str">
        <x:f>IF(OR(A53="",'設定'!$B$4=""),"",'設定'!$B$4)</x:f>
      </x:c>
      <x:c r="T53" s="35"/>
      <x:c r="U53" s="36" t="str">
        <x:f>IF(OR(T53="",S53=""),"",T53*S53)</x:f>
      </x:c>
      <x:c r="V53" s="36" t="str">
        <x:f>IF(OR(A53="",U53=""),"",SUM(M53:R53,U53))</x:f>
      </x:c>
      <x:c r="W53" s="36" t="str">
        <x:f>IF(OR(T53="",V53=""),"",T53-V53)</x:f>
      </x:c>
      <x:c r="X53" s="38" t="str">
        <x:f>IF(OR(T53="",T53=0,W53=""),"",W53/T53)</x:f>
      </x:c>
      <x:c r="Y53" s="33"/>
      <x:c r="Z53" s="33"/>
      <x:c r="AA53" s="34" t="str">
        <x:f>IF(A53="","",IF(OR(H53="",I53="",J53="",K53="",S53="",T53="",Z53=""),"STOP: 確認不足",IF(W53&lt;=0,"STOP: 利益なし","確認済み")))</x:f>
      </x:c>
      <x:c r="AB53" s="40"/>
      <x:c r="AC53" s="40"/>
      <x:c r="AD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9"/>
      <x:c r="K54" s="33"/>
      <x:c r="L54" s="33"/>
      <x:c r="M54" s="35"/>
      <x:c r="N54" s="35"/>
      <x:c r="O54" s="35"/>
      <x:c r="P54" s="35"/>
      <x:c r="Q54" s="35"/>
      <x:c r="R54" s="35"/>
      <x:c r="S54" s="37" t="str">
        <x:f>IF(OR(A54="",'設定'!$B$4=""),"",'設定'!$B$4)</x:f>
      </x:c>
      <x:c r="T54" s="35"/>
      <x:c r="U54" s="36" t="str">
        <x:f>IF(OR(T54="",S54=""),"",T54*S54)</x:f>
      </x:c>
      <x:c r="V54" s="36" t="str">
        <x:f>IF(OR(A54="",U54=""),"",SUM(M54:R54,U54))</x:f>
      </x:c>
      <x:c r="W54" s="36" t="str">
        <x:f>IF(OR(T54="",V54=""),"",T54-V54)</x:f>
      </x:c>
      <x:c r="X54" s="38" t="str">
        <x:f>IF(OR(T54="",T54=0,W54=""),"",W54/T54)</x:f>
      </x:c>
      <x:c r="Y54" s="33"/>
      <x:c r="Z54" s="33"/>
      <x:c r="AA54" s="34" t="str">
        <x:f>IF(A54="","",IF(OR(H54="",I54="",J54="",K54="",S54="",T54="",Z54=""),"STOP: 確認不足",IF(W54&lt;=0,"STOP: 利益なし","確認済み")))</x:f>
      </x:c>
      <x:c r="AB54" s="40"/>
      <x:c r="AC54" s="40"/>
      <x:c r="AD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9"/>
      <x:c r="K55" s="33"/>
      <x:c r="L55" s="33"/>
      <x:c r="M55" s="35"/>
      <x:c r="N55" s="35"/>
      <x:c r="O55" s="35"/>
      <x:c r="P55" s="35"/>
      <x:c r="Q55" s="35"/>
      <x:c r="R55" s="35"/>
      <x:c r="S55" s="37" t="str">
        <x:f>IF(OR(A55="",'設定'!$B$4=""),"",'設定'!$B$4)</x:f>
      </x:c>
      <x:c r="T55" s="35"/>
      <x:c r="U55" s="36" t="str">
        <x:f>IF(OR(T55="",S55=""),"",T55*S55)</x:f>
      </x:c>
      <x:c r="V55" s="36" t="str">
        <x:f>IF(OR(A55="",U55=""),"",SUM(M55:R55,U55))</x:f>
      </x:c>
      <x:c r="W55" s="36" t="str">
        <x:f>IF(OR(T55="",V55=""),"",T55-V55)</x:f>
      </x:c>
      <x:c r="X55" s="38" t="str">
        <x:f>IF(OR(T55="",T55=0,W55=""),"",W55/T55)</x:f>
      </x:c>
      <x:c r="Y55" s="33"/>
      <x:c r="Z55" s="33"/>
      <x:c r="AA55" s="34" t="str">
        <x:f>IF(A55="","",IF(OR(H55="",I55="",J55="",K55="",S55="",T55="",Z55=""),"STOP: 確認不足",IF(W55&lt;=0,"STOP: 利益なし","確認済み")))</x:f>
      </x:c>
      <x:c r="AB55" s="40"/>
      <x:c r="AC55" s="40"/>
      <x:c r="AD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9"/>
      <x:c r="K56" s="33"/>
      <x:c r="L56" s="33"/>
      <x:c r="M56" s="35"/>
      <x:c r="N56" s="35"/>
      <x:c r="O56" s="35"/>
      <x:c r="P56" s="35"/>
      <x:c r="Q56" s="35"/>
      <x:c r="R56" s="35"/>
      <x:c r="S56" s="37" t="str">
        <x:f>IF(OR(A56="",'設定'!$B$4=""),"",'設定'!$B$4)</x:f>
      </x:c>
      <x:c r="T56" s="35"/>
      <x:c r="U56" s="36" t="str">
        <x:f>IF(OR(T56="",S56=""),"",T56*S56)</x:f>
      </x:c>
      <x:c r="V56" s="36" t="str">
        <x:f>IF(OR(A56="",U56=""),"",SUM(M56:R56,U56))</x:f>
      </x:c>
      <x:c r="W56" s="36" t="str">
        <x:f>IF(OR(T56="",V56=""),"",T56-V56)</x:f>
      </x:c>
      <x:c r="X56" s="38" t="str">
        <x:f>IF(OR(T56="",T56=0,W56=""),"",W56/T56)</x:f>
      </x:c>
      <x:c r="Y56" s="33"/>
      <x:c r="Z56" s="33"/>
      <x:c r="AA56" s="34" t="str">
        <x:f>IF(A56="","",IF(OR(H56="",I56="",J56="",K56="",S56="",T56="",Z56=""),"STOP: 確認不足",IF(W56&lt;=0,"STOP: 利益なし","確認済み")))</x:f>
      </x:c>
      <x:c r="AB56" s="40"/>
      <x:c r="AC56" s="40"/>
      <x:c r="AD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9"/>
      <x:c r="K57" s="33"/>
      <x:c r="L57" s="33"/>
      <x:c r="M57" s="35"/>
      <x:c r="N57" s="35"/>
      <x:c r="O57" s="35"/>
      <x:c r="P57" s="35"/>
      <x:c r="Q57" s="35"/>
      <x:c r="R57" s="35"/>
      <x:c r="S57" s="37" t="str">
        <x:f>IF(OR(A57="",'設定'!$B$4=""),"",'設定'!$B$4)</x:f>
      </x:c>
      <x:c r="T57" s="35"/>
      <x:c r="U57" s="36" t="str">
        <x:f>IF(OR(T57="",S57=""),"",T57*S57)</x:f>
      </x:c>
      <x:c r="V57" s="36" t="str">
        <x:f>IF(OR(A57="",U57=""),"",SUM(M57:R57,U57))</x:f>
      </x:c>
      <x:c r="W57" s="36" t="str">
        <x:f>IF(OR(T57="",V57=""),"",T57-V57)</x:f>
      </x:c>
      <x:c r="X57" s="38" t="str">
        <x:f>IF(OR(T57="",T57=0,W57=""),"",W57/T57)</x:f>
      </x:c>
      <x:c r="Y57" s="33"/>
      <x:c r="Z57" s="33"/>
      <x:c r="AA57" s="34" t="str">
        <x:f>IF(A57="","",IF(OR(H57="",I57="",J57="",K57="",S57="",T57="",Z57=""),"STOP: 確認不足",IF(W57&lt;=0,"STOP: 利益なし","確認済み")))</x:f>
      </x:c>
      <x:c r="AB57" s="40"/>
      <x:c r="AC57" s="40"/>
      <x:c r="AD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9"/>
      <x:c r="K58" s="33"/>
      <x:c r="L58" s="33"/>
      <x:c r="M58" s="35"/>
      <x:c r="N58" s="35"/>
      <x:c r="O58" s="35"/>
      <x:c r="P58" s="35"/>
      <x:c r="Q58" s="35"/>
      <x:c r="R58" s="35"/>
      <x:c r="S58" s="37" t="str">
        <x:f>IF(OR(A58="",'設定'!$B$4=""),"",'設定'!$B$4)</x:f>
      </x:c>
      <x:c r="T58" s="35"/>
      <x:c r="U58" s="36" t="str">
        <x:f>IF(OR(T58="",S58=""),"",T58*S58)</x:f>
      </x:c>
      <x:c r="V58" s="36" t="str">
        <x:f>IF(OR(A58="",U58=""),"",SUM(M58:R58,U58))</x:f>
      </x:c>
      <x:c r="W58" s="36" t="str">
        <x:f>IF(OR(T58="",V58=""),"",T58-V58)</x:f>
      </x:c>
      <x:c r="X58" s="38" t="str">
        <x:f>IF(OR(T58="",T58=0,W58=""),"",W58/T58)</x:f>
      </x:c>
      <x:c r="Y58" s="33"/>
      <x:c r="Z58" s="33"/>
      <x:c r="AA58" s="34" t="str">
        <x:f>IF(A58="","",IF(OR(H58="",I58="",J58="",K58="",S58="",T58="",Z58=""),"STOP: 確認不足",IF(W58&lt;=0,"STOP: 利益なし","確認済み")))</x:f>
      </x:c>
      <x:c r="AB58" s="40"/>
      <x:c r="AC58" s="40"/>
      <x:c r="AD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9"/>
      <x:c r="K59" s="33"/>
      <x:c r="L59" s="33"/>
      <x:c r="M59" s="35"/>
      <x:c r="N59" s="35"/>
      <x:c r="O59" s="35"/>
      <x:c r="P59" s="35"/>
      <x:c r="Q59" s="35"/>
      <x:c r="R59" s="35"/>
      <x:c r="S59" s="37" t="str">
        <x:f>IF(OR(A59="",'設定'!$B$4=""),"",'設定'!$B$4)</x:f>
      </x:c>
      <x:c r="T59" s="35"/>
      <x:c r="U59" s="36" t="str">
        <x:f>IF(OR(T59="",S59=""),"",T59*S59)</x:f>
      </x:c>
      <x:c r="V59" s="36" t="str">
        <x:f>IF(OR(A59="",U59=""),"",SUM(M59:R59,U59))</x:f>
      </x:c>
      <x:c r="W59" s="36" t="str">
        <x:f>IF(OR(T59="",V59=""),"",T59-V59)</x:f>
      </x:c>
      <x:c r="X59" s="38" t="str">
        <x:f>IF(OR(T59="",T59=0,W59=""),"",W59/T59)</x:f>
      </x:c>
      <x:c r="Y59" s="33"/>
      <x:c r="Z59" s="33"/>
      <x:c r="AA59" s="34" t="str">
        <x:f>IF(A59="","",IF(OR(H59="",I59="",J59="",K59="",S59="",T59="",Z59=""),"STOP: 確認不足",IF(W59&lt;=0,"STOP: 利益なし","確認済み")))</x:f>
      </x:c>
      <x:c r="AB59" s="40"/>
      <x:c r="AC59" s="40"/>
      <x:c r="AD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9"/>
      <x:c r="K60" s="33"/>
      <x:c r="L60" s="33"/>
      <x:c r="M60" s="35"/>
      <x:c r="N60" s="35"/>
      <x:c r="O60" s="35"/>
      <x:c r="P60" s="35"/>
      <x:c r="Q60" s="35"/>
      <x:c r="R60" s="35"/>
      <x:c r="S60" s="37" t="str">
        <x:f>IF(OR(A60="",'設定'!$B$4=""),"",'設定'!$B$4)</x:f>
      </x:c>
      <x:c r="T60" s="35"/>
      <x:c r="U60" s="36" t="str">
        <x:f>IF(OR(T60="",S60=""),"",T60*S60)</x:f>
      </x:c>
      <x:c r="V60" s="36" t="str">
        <x:f>IF(OR(A60="",U60=""),"",SUM(M60:R60,U60))</x:f>
      </x:c>
      <x:c r="W60" s="36" t="str">
        <x:f>IF(OR(T60="",V60=""),"",T60-V60)</x:f>
      </x:c>
      <x:c r="X60" s="38" t="str">
        <x:f>IF(OR(T60="",T60=0,W60=""),"",W60/T60)</x:f>
      </x:c>
      <x:c r="Y60" s="33"/>
      <x:c r="Z60" s="33"/>
      <x:c r="AA60" s="34" t="str">
        <x:f>IF(A60="","",IF(OR(H60="",I60="",J60="",K60="",S60="",T60="",Z60=""),"STOP: 確認不足",IF(W60&lt;=0,"STOP: 利益なし","確認済み")))</x:f>
      </x:c>
      <x:c r="AB60" s="40"/>
      <x:c r="AC60" s="40"/>
      <x:c r="AD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9"/>
      <x:c r="K61" s="33"/>
      <x:c r="L61" s="33"/>
      <x:c r="M61" s="35"/>
      <x:c r="N61" s="35"/>
      <x:c r="O61" s="35"/>
      <x:c r="P61" s="35"/>
      <x:c r="Q61" s="35"/>
      <x:c r="R61" s="35"/>
      <x:c r="S61" s="37" t="str">
        <x:f>IF(OR(A61="",'設定'!$B$4=""),"",'設定'!$B$4)</x:f>
      </x:c>
      <x:c r="T61" s="35"/>
      <x:c r="U61" s="36" t="str">
        <x:f>IF(OR(T61="",S61=""),"",T61*S61)</x:f>
      </x:c>
      <x:c r="V61" s="36" t="str">
        <x:f>IF(OR(A61="",U61=""),"",SUM(M61:R61,U61))</x:f>
      </x:c>
      <x:c r="W61" s="36" t="str">
        <x:f>IF(OR(T61="",V61=""),"",T61-V61)</x:f>
      </x:c>
      <x:c r="X61" s="38" t="str">
        <x:f>IF(OR(T61="",T61=0,W61=""),"",W61/T61)</x:f>
      </x:c>
      <x:c r="Y61" s="33"/>
      <x:c r="Z61" s="33"/>
      <x:c r="AA61" s="34" t="str">
        <x:f>IF(A61="","",IF(OR(H61="",I61="",J61="",K61="",S61="",T61="",Z61=""),"STOP: 確認不足",IF(W61&lt;=0,"STOP: 利益なし","確認済み")))</x:f>
      </x:c>
      <x:c r="AB61" s="40"/>
      <x:c r="AC61" s="40"/>
      <x:c r="AD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9"/>
      <x:c r="K62" s="33"/>
      <x:c r="L62" s="33"/>
      <x:c r="M62" s="35"/>
      <x:c r="N62" s="35"/>
      <x:c r="O62" s="35"/>
      <x:c r="P62" s="35"/>
      <x:c r="Q62" s="35"/>
      <x:c r="R62" s="35"/>
      <x:c r="S62" s="37" t="str">
        <x:f>IF(OR(A62="",'設定'!$B$4=""),"",'設定'!$B$4)</x:f>
      </x:c>
      <x:c r="T62" s="35"/>
      <x:c r="U62" s="36" t="str">
        <x:f>IF(OR(T62="",S62=""),"",T62*S62)</x:f>
      </x:c>
      <x:c r="V62" s="36" t="str">
        <x:f>IF(OR(A62="",U62=""),"",SUM(M62:R62,U62))</x:f>
      </x:c>
      <x:c r="W62" s="36" t="str">
        <x:f>IF(OR(T62="",V62=""),"",T62-V62)</x:f>
      </x:c>
      <x:c r="X62" s="38" t="str">
        <x:f>IF(OR(T62="",T62=0,W62=""),"",W62/T62)</x:f>
      </x:c>
      <x:c r="Y62" s="33"/>
      <x:c r="Z62" s="33"/>
      <x:c r="AA62" s="34" t="str">
        <x:f>IF(A62="","",IF(OR(H62="",I62="",J62="",K62="",S62="",T62="",Z62=""),"STOP: 確認不足",IF(W62&lt;=0,"STOP: 利益なし","確認済み")))</x:f>
      </x:c>
      <x:c r="AB62" s="40"/>
      <x:c r="AC62" s="40"/>
      <x:c r="AD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9"/>
      <x:c r="K63" s="33"/>
      <x:c r="L63" s="33"/>
      <x:c r="M63" s="35"/>
      <x:c r="N63" s="35"/>
      <x:c r="O63" s="35"/>
      <x:c r="P63" s="35"/>
      <x:c r="Q63" s="35"/>
      <x:c r="R63" s="35"/>
      <x:c r="S63" s="37" t="str">
        <x:f>IF(OR(A63="",'設定'!$B$4=""),"",'設定'!$B$4)</x:f>
      </x:c>
      <x:c r="T63" s="35"/>
      <x:c r="U63" s="36" t="str">
        <x:f>IF(OR(T63="",S63=""),"",T63*S63)</x:f>
      </x:c>
      <x:c r="V63" s="36" t="str">
        <x:f>IF(OR(A63="",U63=""),"",SUM(M63:R63,U63))</x:f>
      </x:c>
      <x:c r="W63" s="36" t="str">
        <x:f>IF(OR(T63="",V63=""),"",T63-V63)</x:f>
      </x:c>
      <x:c r="X63" s="38" t="str">
        <x:f>IF(OR(T63="",T63=0,W63=""),"",W63/T63)</x:f>
      </x:c>
      <x:c r="Y63" s="33"/>
      <x:c r="Z63" s="33"/>
      <x:c r="AA63" s="34" t="str">
        <x:f>IF(A63="","",IF(OR(H63="",I63="",J63="",K63="",S63="",T63="",Z63=""),"STOP: 確認不足",IF(W63&lt;=0,"STOP: 利益なし","確認済み")))</x:f>
      </x:c>
      <x:c r="AB63" s="40"/>
      <x:c r="AC63" s="40"/>
      <x:c r="AD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9"/>
      <x:c r="K64" s="33"/>
      <x:c r="L64" s="33"/>
      <x:c r="M64" s="35"/>
      <x:c r="N64" s="35"/>
      <x:c r="O64" s="35"/>
      <x:c r="P64" s="35"/>
      <x:c r="Q64" s="35"/>
      <x:c r="R64" s="35"/>
      <x:c r="S64" s="37" t="str">
        <x:f>IF(OR(A64="",'設定'!$B$4=""),"",'設定'!$B$4)</x:f>
      </x:c>
      <x:c r="T64" s="35"/>
      <x:c r="U64" s="36" t="str">
        <x:f>IF(OR(T64="",S64=""),"",T64*S64)</x:f>
      </x:c>
      <x:c r="V64" s="36" t="str">
        <x:f>IF(OR(A64="",U64=""),"",SUM(M64:R64,U64))</x:f>
      </x:c>
      <x:c r="W64" s="36" t="str">
        <x:f>IF(OR(T64="",V64=""),"",T64-V64)</x:f>
      </x:c>
      <x:c r="X64" s="38" t="str">
        <x:f>IF(OR(T64="",T64=0,W64=""),"",W64/T64)</x:f>
      </x:c>
      <x:c r="Y64" s="33"/>
      <x:c r="Z64" s="33"/>
      <x:c r="AA64" s="34" t="str">
        <x:f>IF(A64="","",IF(OR(H64="",I64="",J64="",K64="",S64="",T64="",Z64=""),"STOP: 確認不足",IF(W64&lt;=0,"STOP: 利益なし","確認済み")))</x:f>
      </x:c>
      <x:c r="AB64" s="40"/>
      <x:c r="AC64" s="40"/>
      <x:c r="AD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9"/>
      <x:c r="K65" s="33"/>
      <x:c r="L65" s="33"/>
      <x:c r="M65" s="35"/>
      <x:c r="N65" s="35"/>
      <x:c r="O65" s="35"/>
      <x:c r="P65" s="35"/>
      <x:c r="Q65" s="35"/>
      <x:c r="R65" s="35"/>
      <x:c r="S65" s="37" t="str">
        <x:f>IF(OR(A65="",'設定'!$B$4=""),"",'設定'!$B$4)</x:f>
      </x:c>
      <x:c r="T65" s="35"/>
      <x:c r="U65" s="36" t="str">
        <x:f>IF(OR(T65="",S65=""),"",T65*S65)</x:f>
      </x:c>
      <x:c r="V65" s="36" t="str">
        <x:f>IF(OR(A65="",U65=""),"",SUM(M65:R65,U65))</x:f>
      </x:c>
      <x:c r="W65" s="36" t="str">
        <x:f>IF(OR(T65="",V65=""),"",T65-V65)</x:f>
      </x:c>
      <x:c r="X65" s="38" t="str">
        <x:f>IF(OR(T65="",T65=0,W65=""),"",W65/T65)</x:f>
      </x:c>
      <x:c r="Y65" s="33"/>
      <x:c r="Z65" s="33"/>
      <x:c r="AA65" s="34" t="str">
        <x:f>IF(A65="","",IF(OR(H65="",I65="",J65="",K65="",S65="",T65="",Z65=""),"STOP: 確認不足",IF(W65&lt;=0,"STOP: 利益なし","確認済み")))</x:f>
      </x:c>
      <x:c r="AB65" s="40"/>
      <x:c r="AC65" s="40"/>
      <x:c r="AD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9"/>
      <x:c r="K66" s="33"/>
      <x:c r="L66" s="33"/>
      <x:c r="M66" s="35"/>
      <x:c r="N66" s="35"/>
      <x:c r="O66" s="35"/>
      <x:c r="P66" s="35"/>
      <x:c r="Q66" s="35"/>
      <x:c r="R66" s="35"/>
      <x:c r="S66" s="37" t="str">
        <x:f>IF(OR(A66="",'設定'!$B$4=""),"",'設定'!$B$4)</x:f>
      </x:c>
      <x:c r="T66" s="35"/>
      <x:c r="U66" s="36" t="str">
        <x:f>IF(OR(T66="",S66=""),"",T66*S66)</x:f>
      </x:c>
      <x:c r="V66" s="36" t="str">
        <x:f>IF(OR(A66="",U66=""),"",SUM(M66:R66,U66))</x:f>
      </x:c>
      <x:c r="W66" s="36" t="str">
        <x:f>IF(OR(T66="",V66=""),"",T66-V66)</x:f>
      </x:c>
      <x:c r="X66" s="38" t="str">
        <x:f>IF(OR(T66="",T66=0,W66=""),"",W66/T66)</x:f>
      </x:c>
      <x:c r="Y66" s="33"/>
      <x:c r="Z66" s="33"/>
      <x:c r="AA66" s="34" t="str">
        <x:f>IF(A66="","",IF(OR(H66="",I66="",J66="",K66="",S66="",T66="",Z66=""),"STOP: 確認不足",IF(W66&lt;=0,"STOP: 利益なし","確認済み")))</x:f>
      </x:c>
      <x:c r="AB66" s="40"/>
      <x:c r="AC66" s="40"/>
      <x:c r="AD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9"/>
      <x:c r="K67" s="33"/>
      <x:c r="L67" s="33"/>
      <x:c r="M67" s="35"/>
      <x:c r="N67" s="35"/>
      <x:c r="O67" s="35"/>
      <x:c r="P67" s="35"/>
      <x:c r="Q67" s="35"/>
      <x:c r="R67" s="35"/>
      <x:c r="S67" s="37" t="str">
        <x:f>IF(OR(A67="",'設定'!$B$4=""),"",'設定'!$B$4)</x:f>
      </x:c>
      <x:c r="T67" s="35"/>
      <x:c r="U67" s="36" t="str">
        <x:f>IF(OR(T67="",S67=""),"",T67*S67)</x:f>
      </x:c>
      <x:c r="V67" s="36" t="str">
        <x:f>IF(OR(A67="",U67=""),"",SUM(M67:R67,U67))</x:f>
      </x:c>
      <x:c r="W67" s="36" t="str">
        <x:f>IF(OR(T67="",V67=""),"",T67-V67)</x:f>
      </x:c>
      <x:c r="X67" s="38" t="str">
        <x:f>IF(OR(T67="",T67=0,W67=""),"",W67/T67)</x:f>
      </x:c>
      <x:c r="Y67" s="33"/>
      <x:c r="Z67" s="33"/>
      <x:c r="AA67" s="34" t="str">
        <x:f>IF(A67="","",IF(OR(H67="",I67="",J67="",K67="",S67="",T67="",Z67=""),"STOP: 確認不足",IF(W67&lt;=0,"STOP: 利益なし","確認済み")))</x:f>
      </x:c>
      <x:c r="AB67" s="40"/>
      <x:c r="AC67" s="40"/>
      <x:c r="AD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9"/>
      <x:c r="K68" s="33"/>
      <x:c r="L68" s="33"/>
      <x:c r="M68" s="35"/>
      <x:c r="N68" s="35"/>
      <x:c r="O68" s="35"/>
      <x:c r="P68" s="35"/>
      <x:c r="Q68" s="35"/>
      <x:c r="R68" s="35"/>
      <x:c r="S68" s="37" t="str">
        <x:f>IF(OR(A68="",'設定'!$B$4=""),"",'設定'!$B$4)</x:f>
      </x:c>
      <x:c r="T68" s="35"/>
      <x:c r="U68" s="36" t="str">
        <x:f>IF(OR(T68="",S68=""),"",T68*S68)</x:f>
      </x:c>
      <x:c r="V68" s="36" t="str">
        <x:f>IF(OR(A68="",U68=""),"",SUM(M68:R68,U68))</x:f>
      </x:c>
      <x:c r="W68" s="36" t="str">
        <x:f>IF(OR(T68="",V68=""),"",T68-V68)</x:f>
      </x:c>
      <x:c r="X68" s="38" t="str">
        <x:f>IF(OR(T68="",T68=0,W68=""),"",W68/T68)</x:f>
      </x:c>
      <x:c r="Y68" s="33"/>
      <x:c r="Z68" s="33"/>
      <x:c r="AA68" s="34" t="str">
        <x:f>IF(A68="","",IF(OR(H68="",I68="",J68="",K68="",S68="",T68="",Z68=""),"STOP: 確認不足",IF(W68&lt;=0,"STOP: 利益なし","確認済み")))</x:f>
      </x:c>
      <x:c r="AB68" s="40"/>
      <x:c r="AC68" s="40"/>
      <x:c r="AD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9"/>
      <x:c r="K69" s="33"/>
      <x:c r="L69" s="33"/>
      <x:c r="M69" s="35"/>
      <x:c r="N69" s="35"/>
      <x:c r="O69" s="35"/>
      <x:c r="P69" s="35"/>
      <x:c r="Q69" s="35"/>
      <x:c r="R69" s="35"/>
      <x:c r="S69" s="37" t="str">
        <x:f>IF(OR(A69="",'設定'!$B$4=""),"",'設定'!$B$4)</x:f>
      </x:c>
      <x:c r="T69" s="35"/>
      <x:c r="U69" s="36" t="str">
        <x:f>IF(OR(T69="",S69=""),"",T69*S69)</x:f>
      </x:c>
      <x:c r="V69" s="36" t="str">
        <x:f>IF(OR(A69="",U69=""),"",SUM(M69:R69,U69))</x:f>
      </x:c>
      <x:c r="W69" s="36" t="str">
        <x:f>IF(OR(T69="",V69=""),"",T69-V69)</x:f>
      </x:c>
      <x:c r="X69" s="38" t="str">
        <x:f>IF(OR(T69="",T69=0,W69=""),"",W69/T69)</x:f>
      </x:c>
      <x:c r="Y69" s="33"/>
      <x:c r="Z69" s="33"/>
      <x:c r="AA69" s="34" t="str">
        <x:f>IF(A69="","",IF(OR(H69="",I69="",J69="",K69="",S69="",T69="",Z69=""),"STOP: 確認不足",IF(W69&lt;=0,"STOP: 利益なし","確認済み")))</x:f>
      </x:c>
      <x:c r="AB69" s="40"/>
      <x:c r="AC69" s="40"/>
      <x:c r="AD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9"/>
      <x:c r="K70" s="33"/>
      <x:c r="L70" s="33"/>
      <x:c r="M70" s="35"/>
      <x:c r="N70" s="35"/>
      <x:c r="O70" s="35"/>
      <x:c r="P70" s="35"/>
      <x:c r="Q70" s="35"/>
      <x:c r="R70" s="35"/>
      <x:c r="S70" s="37" t="str">
        <x:f>IF(OR(A70="",'設定'!$B$4=""),"",'設定'!$B$4)</x:f>
      </x:c>
      <x:c r="T70" s="35"/>
      <x:c r="U70" s="36" t="str">
        <x:f>IF(OR(T70="",S70=""),"",T70*S70)</x:f>
      </x:c>
      <x:c r="V70" s="36" t="str">
        <x:f>IF(OR(A70="",U70=""),"",SUM(M70:R70,U70))</x:f>
      </x:c>
      <x:c r="W70" s="36" t="str">
        <x:f>IF(OR(T70="",V70=""),"",T70-V70)</x:f>
      </x:c>
      <x:c r="X70" s="38" t="str">
        <x:f>IF(OR(T70="",T70=0,W70=""),"",W70/T70)</x:f>
      </x:c>
      <x:c r="Y70" s="33"/>
      <x:c r="Z70" s="33"/>
      <x:c r="AA70" s="34" t="str">
        <x:f>IF(A70="","",IF(OR(H70="",I70="",J70="",K70="",S70="",T70="",Z70=""),"STOP: 確認不足",IF(W70&lt;=0,"STOP: 利益なし","確認済み")))</x:f>
      </x:c>
      <x:c r="AB70" s="40"/>
      <x:c r="AC70" s="40"/>
      <x:c r="AD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9"/>
      <x:c r="K71" s="33"/>
      <x:c r="L71" s="33"/>
      <x:c r="M71" s="35"/>
      <x:c r="N71" s="35"/>
      <x:c r="O71" s="35"/>
      <x:c r="P71" s="35"/>
      <x:c r="Q71" s="35"/>
      <x:c r="R71" s="35"/>
      <x:c r="S71" s="37" t="str">
        <x:f>IF(OR(A71="",'設定'!$B$4=""),"",'設定'!$B$4)</x:f>
      </x:c>
      <x:c r="T71" s="35"/>
      <x:c r="U71" s="36" t="str">
        <x:f>IF(OR(T71="",S71=""),"",T71*S71)</x:f>
      </x:c>
      <x:c r="V71" s="36" t="str">
        <x:f>IF(OR(A71="",U71=""),"",SUM(M71:R71,U71))</x:f>
      </x:c>
      <x:c r="W71" s="36" t="str">
        <x:f>IF(OR(T71="",V71=""),"",T71-V71)</x:f>
      </x:c>
      <x:c r="X71" s="38" t="str">
        <x:f>IF(OR(T71="",T71=0,W71=""),"",W71/T71)</x:f>
      </x:c>
      <x:c r="Y71" s="33"/>
      <x:c r="Z71" s="33"/>
      <x:c r="AA71" s="34" t="str">
        <x:f>IF(A71="","",IF(OR(H71="",I71="",J71="",K71="",S71="",T71="",Z71=""),"STOP: 確認不足",IF(W71&lt;=0,"STOP: 利益なし","確認済み")))</x:f>
      </x:c>
      <x:c r="AB71" s="40"/>
      <x:c r="AC71" s="40"/>
      <x:c r="AD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9"/>
      <x:c r="K72" s="33"/>
      <x:c r="L72" s="33"/>
      <x:c r="M72" s="35"/>
      <x:c r="N72" s="35"/>
      <x:c r="O72" s="35"/>
      <x:c r="P72" s="35"/>
      <x:c r="Q72" s="35"/>
      <x:c r="R72" s="35"/>
      <x:c r="S72" s="37" t="str">
        <x:f>IF(OR(A72="",'設定'!$B$4=""),"",'設定'!$B$4)</x:f>
      </x:c>
      <x:c r="T72" s="35"/>
      <x:c r="U72" s="36" t="str">
        <x:f>IF(OR(T72="",S72=""),"",T72*S72)</x:f>
      </x:c>
      <x:c r="V72" s="36" t="str">
        <x:f>IF(OR(A72="",U72=""),"",SUM(M72:R72,U72))</x:f>
      </x:c>
      <x:c r="W72" s="36" t="str">
        <x:f>IF(OR(T72="",V72=""),"",T72-V72)</x:f>
      </x:c>
      <x:c r="X72" s="38" t="str">
        <x:f>IF(OR(T72="",T72=0,W72=""),"",W72/T72)</x:f>
      </x:c>
      <x:c r="Y72" s="33"/>
      <x:c r="Z72" s="33"/>
      <x:c r="AA72" s="34" t="str">
        <x:f>IF(A72="","",IF(OR(H72="",I72="",J72="",K72="",S72="",T72="",Z72=""),"STOP: 確認不足",IF(W72&lt;=0,"STOP: 利益なし","確認済み")))</x:f>
      </x:c>
      <x:c r="AB72" s="40"/>
      <x:c r="AC72" s="40"/>
      <x:c r="AD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9"/>
      <x:c r="K73" s="33"/>
      <x:c r="L73" s="33"/>
      <x:c r="M73" s="35"/>
      <x:c r="N73" s="35"/>
      <x:c r="O73" s="35"/>
      <x:c r="P73" s="35"/>
      <x:c r="Q73" s="35"/>
      <x:c r="R73" s="35"/>
      <x:c r="S73" s="37" t="str">
        <x:f>IF(OR(A73="",'設定'!$B$4=""),"",'設定'!$B$4)</x:f>
      </x:c>
      <x:c r="T73" s="35"/>
      <x:c r="U73" s="36" t="str">
        <x:f>IF(OR(T73="",S73=""),"",T73*S73)</x:f>
      </x:c>
      <x:c r="V73" s="36" t="str">
        <x:f>IF(OR(A73="",U73=""),"",SUM(M73:R73,U73))</x:f>
      </x:c>
      <x:c r="W73" s="36" t="str">
        <x:f>IF(OR(T73="",V73=""),"",T73-V73)</x:f>
      </x:c>
      <x:c r="X73" s="38" t="str">
        <x:f>IF(OR(T73="",T73=0,W73=""),"",W73/T73)</x:f>
      </x:c>
      <x:c r="Y73" s="33"/>
      <x:c r="Z73" s="33"/>
      <x:c r="AA73" s="34" t="str">
        <x:f>IF(A73="","",IF(OR(H73="",I73="",J73="",K73="",S73="",T73="",Z73=""),"STOP: 確認不足",IF(W73&lt;=0,"STOP: 利益なし","確認済み")))</x:f>
      </x:c>
      <x:c r="AB73" s="40"/>
      <x:c r="AC73" s="40"/>
      <x:c r="AD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9"/>
      <x:c r="K74" s="33"/>
      <x:c r="L74" s="33"/>
      <x:c r="M74" s="35"/>
      <x:c r="N74" s="35"/>
      <x:c r="O74" s="35"/>
      <x:c r="P74" s="35"/>
      <x:c r="Q74" s="35"/>
      <x:c r="R74" s="35"/>
      <x:c r="S74" s="37" t="str">
        <x:f>IF(OR(A74="",'設定'!$B$4=""),"",'設定'!$B$4)</x:f>
      </x:c>
      <x:c r="T74" s="35"/>
      <x:c r="U74" s="36" t="str">
        <x:f>IF(OR(T74="",S74=""),"",T74*S74)</x:f>
      </x:c>
      <x:c r="V74" s="36" t="str">
        <x:f>IF(OR(A74="",U74=""),"",SUM(M74:R74,U74))</x:f>
      </x:c>
      <x:c r="W74" s="36" t="str">
        <x:f>IF(OR(T74="",V74=""),"",T74-V74)</x:f>
      </x:c>
      <x:c r="X74" s="38" t="str">
        <x:f>IF(OR(T74="",T74=0,W74=""),"",W74/T74)</x:f>
      </x:c>
      <x:c r="Y74" s="33"/>
      <x:c r="Z74" s="33"/>
      <x:c r="AA74" s="34" t="str">
        <x:f>IF(A74="","",IF(OR(H74="",I74="",J74="",K74="",S74="",T74="",Z74=""),"STOP: 確認不足",IF(W74&lt;=0,"STOP: 利益なし","確認済み")))</x:f>
      </x:c>
      <x:c r="AB74" s="40"/>
      <x:c r="AC74" s="40"/>
      <x:c r="AD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9"/>
      <x:c r="K75" s="33"/>
      <x:c r="L75" s="33"/>
      <x:c r="M75" s="35"/>
      <x:c r="N75" s="35"/>
      <x:c r="O75" s="35"/>
      <x:c r="P75" s="35"/>
      <x:c r="Q75" s="35"/>
      <x:c r="R75" s="35"/>
      <x:c r="S75" s="37" t="str">
        <x:f>IF(OR(A75="",'設定'!$B$4=""),"",'設定'!$B$4)</x:f>
      </x:c>
      <x:c r="T75" s="35"/>
      <x:c r="U75" s="36" t="str">
        <x:f>IF(OR(T75="",S75=""),"",T75*S75)</x:f>
      </x:c>
      <x:c r="V75" s="36" t="str">
        <x:f>IF(OR(A75="",U75=""),"",SUM(M75:R75,U75))</x:f>
      </x:c>
      <x:c r="W75" s="36" t="str">
        <x:f>IF(OR(T75="",V75=""),"",T75-V75)</x:f>
      </x:c>
      <x:c r="X75" s="38" t="str">
        <x:f>IF(OR(T75="",T75=0,W75=""),"",W75/T75)</x:f>
      </x:c>
      <x:c r="Y75" s="33"/>
      <x:c r="Z75" s="33"/>
      <x:c r="AA75" s="34" t="str">
        <x:f>IF(A75="","",IF(OR(H75="",I75="",J75="",K75="",S75="",T75="",Z75=""),"STOP: 確認不足",IF(W75&lt;=0,"STOP: 利益なし","確認済み")))</x:f>
      </x:c>
      <x:c r="AB75" s="40"/>
      <x:c r="AC75" s="40"/>
      <x:c r="AD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9"/>
      <x:c r="K76" s="33"/>
      <x:c r="L76" s="33"/>
      <x:c r="M76" s="35"/>
      <x:c r="N76" s="35"/>
      <x:c r="O76" s="35"/>
      <x:c r="P76" s="35"/>
      <x:c r="Q76" s="35"/>
      <x:c r="R76" s="35"/>
      <x:c r="S76" s="37" t="str">
        <x:f>IF(OR(A76="",'設定'!$B$4=""),"",'設定'!$B$4)</x:f>
      </x:c>
      <x:c r="T76" s="35"/>
      <x:c r="U76" s="36" t="str">
        <x:f>IF(OR(T76="",S76=""),"",T76*S76)</x:f>
      </x:c>
      <x:c r="V76" s="36" t="str">
        <x:f>IF(OR(A76="",U76=""),"",SUM(M76:R76,U76))</x:f>
      </x:c>
      <x:c r="W76" s="36" t="str">
        <x:f>IF(OR(T76="",V76=""),"",T76-V76)</x:f>
      </x:c>
      <x:c r="X76" s="38" t="str">
        <x:f>IF(OR(T76="",T76=0,W76=""),"",W76/T76)</x:f>
      </x:c>
      <x:c r="Y76" s="33"/>
      <x:c r="Z76" s="33"/>
      <x:c r="AA76" s="34" t="str">
        <x:f>IF(A76="","",IF(OR(H76="",I76="",J76="",K76="",S76="",T76="",Z76=""),"STOP: 確認不足",IF(W76&lt;=0,"STOP: 利益なし","確認済み")))</x:f>
      </x:c>
      <x:c r="AB76" s="40"/>
      <x:c r="AC76" s="40"/>
      <x:c r="AD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9"/>
      <x:c r="K77" s="33"/>
      <x:c r="L77" s="33"/>
      <x:c r="M77" s="35"/>
      <x:c r="N77" s="35"/>
      <x:c r="O77" s="35"/>
      <x:c r="P77" s="35"/>
      <x:c r="Q77" s="35"/>
      <x:c r="R77" s="35"/>
      <x:c r="S77" s="37" t="str">
        <x:f>IF(OR(A77="",'設定'!$B$4=""),"",'設定'!$B$4)</x:f>
      </x:c>
      <x:c r="T77" s="35"/>
      <x:c r="U77" s="36" t="str">
        <x:f>IF(OR(T77="",S77=""),"",T77*S77)</x:f>
      </x:c>
      <x:c r="V77" s="36" t="str">
        <x:f>IF(OR(A77="",U77=""),"",SUM(M77:R77,U77))</x:f>
      </x:c>
      <x:c r="W77" s="36" t="str">
        <x:f>IF(OR(T77="",V77=""),"",T77-V77)</x:f>
      </x:c>
      <x:c r="X77" s="38" t="str">
        <x:f>IF(OR(T77="",T77=0,W77=""),"",W77/T77)</x:f>
      </x:c>
      <x:c r="Y77" s="33"/>
      <x:c r="Z77" s="33"/>
      <x:c r="AA77" s="34" t="str">
        <x:f>IF(A77="","",IF(OR(H77="",I77="",J77="",K77="",S77="",T77="",Z77=""),"STOP: 確認不足",IF(W77&lt;=0,"STOP: 利益なし","確認済み")))</x:f>
      </x:c>
      <x:c r="AB77" s="40"/>
      <x:c r="AC77" s="40"/>
      <x:c r="AD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9"/>
      <x:c r="K78" s="33"/>
      <x:c r="L78" s="33"/>
      <x:c r="M78" s="35"/>
      <x:c r="N78" s="35"/>
      <x:c r="O78" s="35"/>
      <x:c r="P78" s="35"/>
      <x:c r="Q78" s="35"/>
      <x:c r="R78" s="35"/>
      <x:c r="S78" s="37" t="str">
        <x:f>IF(OR(A78="",'設定'!$B$4=""),"",'設定'!$B$4)</x:f>
      </x:c>
      <x:c r="T78" s="35"/>
      <x:c r="U78" s="36" t="str">
        <x:f>IF(OR(T78="",S78=""),"",T78*S78)</x:f>
      </x:c>
      <x:c r="V78" s="36" t="str">
        <x:f>IF(OR(A78="",U78=""),"",SUM(M78:R78,U78))</x:f>
      </x:c>
      <x:c r="W78" s="36" t="str">
        <x:f>IF(OR(T78="",V78=""),"",T78-V78)</x:f>
      </x:c>
      <x:c r="X78" s="38" t="str">
        <x:f>IF(OR(T78="",T78=0,W78=""),"",W78/T78)</x:f>
      </x:c>
      <x:c r="Y78" s="33"/>
      <x:c r="Z78" s="33"/>
      <x:c r="AA78" s="34" t="str">
        <x:f>IF(A78="","",IF(OR(H78="",I78="",J78="",K78="",S78="",T78="",Z78=""),"STOP: 確認不足",IF(W78&lt;=0,"STOP: 利益なし","確認済み")))</x:f>
      </x:c>
      <x:c r="AB78" s="40"/>
      <x:c r="AC78" s="40"/>
      <x:c r="AD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9"/>
      <x:c r="K79" s="33"/>
      <x:c r="L79" s="33"/>
      <x:c r="M79" s="35"/>
      <x:c r="N79" s="35"/>
      <x:c r="O79" s="35"/>
      <x:c r="P79" s="35"/>
      <x:c r="Q79" s="35"/>
      <x:c r="R79" s="35"/>
      <x:c r="S79" s="37" t="str">
        <x:f>IF(OR(A79="",'設定'!$B$4=""),"",'設定'!$B$4)</x:f>
      </x:c>
      <x:c r="T79" s="35"/>
      <x:c r="U79" s="36" t="str">
        <x:f>IF(OR(T79="",S79=""),"",T79*S79)</x:f>
      </x:c>
      <x:c r="V79" s="36" t="str">
        <x:f>IF(OR(A79="",U79=""),"",SUM(M79:R79,U79))</x:f>
      </x:c>
      <x:c r="W79" s="36" t="str">
        <x:f>IF(OR(T79="",V79=""),"",T79-V79)</x:f>
      </x:c>
      <x:c r="X79" s="38" t="str">
        <x:f>IF(OR(T79="",T79=0,W79=""),"",W79/T79)</x:f>
      </x:c>
      <x:c r="Y79" s="33"/>
      <x:c r="Z79" s="33"/>
      <x:c r="AA79" s="34" t="str">
        <x:f>IF(A79="","",IF(OR(H79="",I79="",J79="",K79="",S79="",T79="",Z79=""),"STOP: 確認不足",IF(W79&lt;=0,"STOP: 利益なし","確認済み")))</x:f>
      </x:c>
      <x:c r="AB79" s="40"/>
      <x:c r="AC79" s="40"/>
      <x:c r="AD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9"/>
      <x:c r="K80" s="33"/>
      <x:c r="L80" s="33"/>
      <x:c r="M80" s="35"/>
      <x:c r="N80" s="35"/>
      <x:c r="O80" s="35"/>
      <x:c r="P80" s="35"/>
      <x:c r="Q80" s="35"/>
      <x:c r="R80" s="35"/>
      <x:c r="S80" s="37" t="str">
        <x:f>IF(OR(A80="",'設定'!$B$4=""),"",'設定'!$B$4)</x:f>
      </x:c>
      <x:c r="T80" s="35"/>
      <x:c r="U80" s="36" t="str">
        <x:f>IF(OR(T80="",S80=""),"",T80*S80)</x:f>
      </x:c>
      <x:c r="V80" s="36" t="str">
        <x:f>IF(OR(A80="",U80=""),"",SUM(M80:R80,U80))</x:f>
      </x:c>
      <x:c r="W80" s="36" t="str">
        <x:f>IF(OR(T80="",V80=""),"",T80-V80)</x:f>
      </x:c>
      <x:c r="X80" s="38" t="str">
        <x:f>IF(OR(T80="",T80=0,W80=""),"",W80/T80)</x:f>
      </x:c>
      <x:c r="Y80" s="33"/>
      <x:c r="Z80" s="33"/>
      <x:c r="AA80" s="34" t="str">
        <x:f>IF(A80="","",IF(OR(H80="",I80="",J80="",K80="",S80="",T80="",Z80=""),"STOP: 確認不足",IF(W80&lt;=0,"STOP: 利益なし","確認済み")))</x:f>
      </x:c>
      <x:c r="AB80" s="40"/>
      <x:c r="AC80" s="40"/>
      <x:c r="AD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9"/>
      <x:c r="K81" s="33"/>
      <x:c r="L81" s="33"/>
      <x:c r="M81" s="35"/>
      <x:c r="N81" s="35"/>
      <x:c r="O81" s="35"/>
      <x:c r="P81" s="35"/>
      <x:c r="Q81" s="35"/>
      <x:c r="R81" s="35"/>
      <x:c r="S81" s="37" t="str">
        <x:f>IF(OR(A81="",'設定'!$B$4=""),"",'設定'!$B$4)</x:f>
      </x:c>
      <x:c r="T81" s="35"/>
      <x:c r="U81" s="36" t="str">
        <x:f>IF(OR(T81="",S81=""),"",T81*S81)</x:f>
      </x:c>
      <x:c r="V81" s="36" t="str">
        <x:f>IF(OR(A81="",U81=""),"",SUM(M81:R81,U81))</x:f>
      </x:c>
      <x:c r="W81" s="36" t="str">
        <x:f>IF(OR(T81="",V81=""),"",T81-V81)</x:f>
      </x:c>
      <x:c r="X81" s="38" t="str">
        <x:f>IF(OR(T81="",T81=0,W81=""),"",W81/T81)</x:f>
      </x:c>
      <x:c r="Y81" s="33"/>
      <x:c r="Z81" s="33"/>
      <x:c r="AA81" s="34" t="str">
        <x:f>IF(A81="","",IF(OR(H81="",I81="",J81="",K81="",S81="",T81="",Z81=""),"STOP: 確認不足",IF(W81&lt;=0,"STOP: 利益なし","確認済み")))</x:f>
      </x:c>
      <x:c r="AB81" s="40"/>
      <x:c r="AC81" s="40"/>
      <x:c r="AD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9"/>
      <x:c r="K82" s="33"/>
      <x:c r="L82" s="33"/>
      <x:c r="M82" s="35"/>
      <x:c r="N82" s="35"/>
      <x:c r="O82" s="35"/>
      <x:c r="P82" s="35"/>
      <x:c r="Q82" s="35"/>
      <x:c r="R82" s="35"/>
      <x:c r="S82" s="37" t="str">
        <x:f>IF(OR(A82="",'設定'!$B$4=""),"",'設定'!$B$4)</x:f>
      </x:c>
      <x:c r="T82" s="35"/>
      <x:c r="U82" s="36" t="str">
        <x:f>IF(OR(T82="",S82=""),"",T82*S82)</x:f>
      </x:c>
      <x:c r="V82" s="36" t="str">
        <x:f>IF(OR(A82="",U82=""),"",SUM(M82:R82,U82))</x:f>
      </x:c>
      <x:c r="W82" s="36" t="str">
        <x:f>IF(OR(T82="",V82=""),"",T82-V82)</x:f>
      </x:c>
      <x:c r="X82" s="38" t="str">
        <x:f>IF(OR(T82="",T82=0,W82=""),"",W82/T82)</x:f>
      </x:c>
      <x:c r="Y82" s="33"/>
      <x:c r="Z82" s="33"/>
      <x:c r="AA82" s="34" t="str">
        <x:f>IF(A82="","",IF(OR(H82="",I82="",J82="",K82="",S82="",T82="",Z82=""),"STOP: 確認不足",IF(W82&lt;=0,"STOP: 利益なし","確認済み")))</x:f>
      </x:c>
      <x:c r="AB82" s="40"/>
      <x:c r="AC82" s="40"/>
      <x:c r="AD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9"/>
      <x:c r="K83" s="33"/>
      <x:c r="L83" s="33"/>
      <x:c r="M83" s="35"/>
      <x:c r="N83" s="35"/>
      <x:c r="O83" s="35"/>
      <x:c r="P83" s="35"/>
      <x:c r="Q83" s="35"/>
      <x:c r="R83" s="35"/>
      <x:c r="S83" s="37" t="str">
        <x:f>IF(OR(A83="",'設定'!$B$4=""),"",'設定'!$B$4)</x:f>
      </x:c>
      <x:c r="T83" s="35"/>
      <x:c r="U83" s="36" t="str">
        <x:f>IF(OR(T83="",S83=""),"",T83*S83)</x:f>
      </x:c>
      <x:c r="V83" s="36" t="str">
        <x:f>IF(OR(A83="",U83=""),"",SUM(M83:R83,U83))</x:f>
      </x:c>
      <x:c r="W83" s="36" t="str">
        <x:f>IF(OR(T83="",V83=""),"",T83-V83)</x:f>
      </x:c>
      <x:c r="X83" s="38" t="str">
        <x:f>IF(OR(T83="",T83=0,W83=""),"",W83/T83)</x:f>
      </x:c>
      <x:c r="Y83" s="33"/>
      <x:c r="Z83" s="33"/>
      <x:c r="AA83" s="34" t="str">
        <x:f>IF(A83="","",IF(OR(H83="",I83="",J83="",K83="",S83="",T83="",Z83=""),"STOP: 確認不足",IF(W83&lt;=0,"STOP: 利益なし","確認済み")))</x:f>
      </x:c>
      <x:c r="AB83" s="40"/>
      <x:c r="AC83" s="40"/>
      <x:c r="AD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9"/>
      <x:c r="K84" s="33"/>
      <x:c r="L84" s="33"/>
      <x:c r="M84" s="35"/>
      <x:c r="N84" s="35"/>
      <x:c r="O84" s="35"/>
      <x:c r="P84" s="35"/>
      <x:c r="Q84" s="35"/>
      <x:c r="R84" s="35"/>
      <x:c r="S84" s="37" t="str">
        <x:f>IF(OR(A84="",'設定'!$B$4=""),"",'設定'!$B$4)</x:f>
      </x:c>
      <x:c r="T84" s="35"/>
      <x:c r="U84" s="36" t="str">
        <x:f>IF(OR(T84="",S84=""),"",T84*S84)</x:f>
      </x:c>
      <x:c r="V84" s="36" t="str">
        <x:f>IF(OR(A84="",U84=""),"",SUM(M84:R84,U84))</x:f>
      </x:c>
      <x:c r="W84" s="36" t="str">
        <x:f>IF(OR(T84="",V84=""),"",T84-V84)</x:f>
      </x:c>
      <x:c r="X84" s="38" t="str">
        <x:f>IF(OR(T84="",T84=0,W84=""),"",W84/T84)</x:f>
      </x:c>
      <x:c r="Y84" s="33"/>
      <x:c r="Z84" s="33"/>
      <x:c r="AA84" s="34" t="str">
        <x:f>IF(A84="","",IF(OR(H84="",I84="",J84="",K84="",S84="",T84="",Z84=""),"STOP: 確認不足",IF(W84&lt;=0,"STOP: 利益なし","確認済み")))</x:f>
      </x:c>
      <x:c r="AB84" s="40"/>
      <x:c r="AC84" s="40"/>
      <x:c r="AD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9"/>
      <x:c r="K85" s="33"/>
      <x:c r="L85" s="33"/>
      <x:c r="M85" s="35"/>
      <x:c r="N85" s="35"/>
      <x:c r="O85" s="35"/>
      <x:c r="P85" s="35"/>
      <x:c r="Q85" s="35"/>
      <x:c r="R85" s="35"/>
      <x:c r="S85" s="37" t="str">
        <x:f>IF(OR(A85="",'設定'!$B$4=""),"",'設定'!$B$4)</x:f>
      </x:c>
      <x:c r="T85" s="35"/>
      <x:c r="U85" s="36" t="str">
        <x:f>IF(OR(T85="",S85=""),"",T85*S85)</x:f>
      </x:c>
      <x:c r="V85" s="36" t="str">
        <x:f>IF(OR(A85="",U85=""),"",SUM(M85:R85,U85))</x:f>
      </x:c>
      <x:c r="W85" s="36" t="str">
        <x:f>IF(OR(T85="",V85=""),"",T85-V85)</x:f>
      </x:c>
      <x:c r="X85" s="38" t="str">
        <x:f>IF(OR(T85="",T85=0,W85=""),"",W85/T85)</x:f>
      </x:c>
      <x:c r="Y85" s="33"/>
      <x:c r="Z85" s="33"/>
      <x:c r="AA85" s="34" t="str">
        <x:f>IF(A85="","",IF(OR(H85="",I85="",J85="",K85="",S85="",T85="",Z85=""),"STOP: 確認不足",IF(W85&lt;=0,"STOP: 利益なし","確認済み")))</x:f>
      </x:c>
      <x:c r="AB85" s="40"/>
      <x:c r="AC85" s="40"/>
      <x:c r="AD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9"/>
      <x:c r="K86" s="33"/>
      <x:c r="L86" s="33"/>
      <x:c r="M86" s="35"/>
      <x:c r="N86" s="35"/>
      <x:c r="O86" s="35"/>
      <x:c r="P86" s="35"/>
      <x:c r="Q86" s="35"/>
      <x:c r="R86" s="35"/>
      <x:c r="S86" s="37" t="str">
        <x:f>IF(OR(A86="",'設定'!$B$4=""),"",'設定'!$B$4)</x:f>
      </x:c>
      <x:c r="T86" s="35"/>
      <x:c r="U86" s="36" t="str">
        <x:f>IF(OR(T86="",S86=""),"",T86*S86)</x:f>
      </x:c>
      <x:c r="V86" s="36" t="str">
        <x:f>IF(OR(A86="",U86=""),"",SUM(M86:R86,U86))</x:f>
      </x:c>
      <x:c r="W86" s="36" t="str">
        <x:f>IF(OR(T86="",V86=""),"",T86-V86)</x:f>
      </x:c>
      <x:c r="X86" s="38" t="str">
        <x:f>IF(OR(T86="",T86=0,W86=""),"",W86/T86)</x:f>
      </x:c>
      <x:c r="Y86" s="33"/>
      <x:c r="Z86" s="33"/>
      <x:c r="AA86" s="34" t="str">
        <x:f>IF(A86="","",IF(OR(H86="",I86="",J86="",K86="",S86="",T86="",Z86=""),"STOP: 確認不足",IF(W86&lt;=0,"STOP: 利益なし","確認済み")))</x:f>
      </x:c>
      <x:c r="AB86" s="40"/>
      <x:c r="AC86" s="40"/>
      <x:c r="AD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9"/>
      <x:c r="K87" s="33"/>
      <x:c r="L87" s="33"/>
      <x:c r="M87" s="35"/>
      <x:c r="N87" s="35"/>
      <x:c r="O87" s="35"/>
      <x:c r="P87" s="35"/>
      <x:c r="Q87" s="35"/>
      <x:c r="R87" s="35"/>
      <x:c r="S87" s="37" t="str">
        <x:f>IF(OR(A87="",'設定'!$B$4=""),"",'設定'!$B$4)</x:f>
      </x:c>
      <x:c r="T87" s="35"/>
      <x:c r="U87" s="36" t="str">
        <x:f>IF(OR(T87="",S87=""),"",T87*S87)</x:f>
      </x:c>
      <x:c r="V87" s="36" t="str">
        <x:f>IF(OR(A87="",U87=""),"",SUM(M87:R87,U87))</x:f>
      </x:c>
      <x:c r="W87" s="36" t="str">
        <x:f>IF(OR(T87="",V87=""),"",T87-V87)</x:f>
      </x:c>
      <x:c r="X87" s="38" t="str">
        <x:f>IF(OR(T87="",T87=0,W87=""),"",W87/T87)</x:f>
      </x:c>
      <x:c r="Y87" s="33"/>
      <x:c r="Z87" s="33"/>
      <x:c r="AA87" s="34" t="str">
        <x:f>IF(A87="","",IF(OR(H87="",I87="",J87="",K87="",S87="",T87="",Z87=""),"STOP: 確認不足",IF(W87&lt;=0,"STOP: 利益なし","確認済み")))</x:f>
      </x:c>
      <x:c r="AB87" s="40"/>
      <x:c r="AC87" s="40"/>
      <x:c r="AD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9"/>
      <x:c r="K88" s="33"/>
      <x:c r="L88" s="33"/>
      <x:c r="M88" s="35"/>
      <x:c r="N88" s="35"/>
      <x:c r="O88" s="35"/>
      <x:c r="P88" s="35"/>
      <x:c r="Q88" s="35"/>
      <x:c r="R88" s="35"/>
      <x:c r="S88" s="37" t="str">
        <x:f>IF(OR(A88="",'設定'!$B$4=""),"",'設定'!$B$4)</x:f>
      </x:c>
      <x:c r="T88" s="35"/>
      <x:c r="U88" s="36" t="str">
        <x:f>IF(OR(T88="",S88=""),"",T88*S88)</x:f>
      </x:c>
      <x:c r="V88" s="36" t="str">
        <x:f>IF(OR(A88="",U88=""),"",SUM(M88:R88,U88))</x:f>
      </x:c>
      <x:c r="W88" s="36" t="str">
        <x:f>IF(OR(T88="",V88=""),"",T88-V88)</x:f>
      </x:c>
      <x:c r="X88" s="38" t="str">
        <x:f>IF(OR(T88="",T88=0,W88=""),"",W88/T88)</x:f>
      </x:c>
      <x:c r="Y88" s="33"/>
      <x:c r="Z88" s="33"/>
      <x:c r="AA88" s="34" t="str">
        <x:f>IF(A88="","",IF(OR(H88="",I88="",J88="",K88="",S88="",T88="",Z88=""),"STOP: 確認不足",IF(W88&lt;=0,"STOP: 利益なし","確認済み")))</x:f>
      </x:c>
      <x:c r="AB88" s="40"/>
      <x:c r="AC88" s="40"/>
      <x:c r="AD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9"/>
      <x:c r="K89" s="33"/>
      <x:c r="L89" s="33"/>
      <x:c r="M89" s="35"/>
      <x:c r="N89" s="35"/>
      <x:c r="O89" s="35"/>
      <x:c r="P89" s="35"/>
      <x:c r="Q89" s="35"/>
      <x:c r="R89" s="35"/>
      <x:c r="S89" s="37" t="str">
        <x:f>IF(OR(A89="",'設定'!$B$4=""),"",'設定'!$B$4)</x:f>
      </x:c>
      <x:c r="T89" s="35"/>
      <x:c r="U89" s="36" t="str">
        <x:f>IF(OR(T89="",S89=""),"",T89*S89)</x:f>
      </x:c>
      <x:c r="V89" s="36" t="str">
        <x:f>IF(OR(A89="",U89=""),"",SUM(M89:R89,U89))</x:f>
      </x:c>
      <x:c r="W89" s="36" t="str">
        <x:f>IF(OR(T89="",V89=""),"",T89-V89)</x:f>
      </x:c>
      <x:c r="X89" s="38" t="str">
        <x:f>IF(OR(T89="",T89=0,W89=""),"",W89/T89)</x:f>
      </x:c>
      <x:c r="Y89" s="33"/>
      <x:c r="Z89" s="33"/>
      <x:c r="AA89" s="34" t="str">
        <x:f>IF(A89="","",IF(OR(H89="",I89="",J89="",K89="",S89="",T89="",Z89=""),"STOP: 確認不足",IF(W89&lt;=0,"STOP: 利益なし","確認済み")))</x:f>
      </x:c>
      <x:c r="AB89" s="40"/>
      <x:c r="AC89" s="40"/>
      <x:c r="AD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9"/>
      <x:c r="K90" s="33"/>
      <x:c r="L90" s="33"/>
      <x:c r="M90" s="35"/>
      <x:c r="N90" s="35"/>
      <x:c r="O90" s="35"/>
      <x:c r="P90" s="35"/>
      <x:c r="Q90" s="35"/>
      <x:c r="R90" s="35"/>
      <x:c r="S90" s="37" t="str">
        <x:f>IF(OR(A90="",'設定'!$B$4=""),"",'設定'!$B$4)</x:f>
      </x:c>
      <x:c r="T90" s="35"/>
      <x:c r="U90" s="36" t="str">
        <x:f>IF(OR(T90="",S90=""),"",T90*S90)</x:f>
      </x:c>
      <x:c r="V90" s="36" t="str">
        <x:f>IF(OR(A90="",U90=""),"",SUM(M90:R90,U90))</x:f>
      </x:c>
      <x:c r="W90" s="36" t="str">
        <x:f>IF(OR(T90="",V90=""),"",T90-V90)</x:f>
      </x:c>
      <x:c r="X90" s="38" t="str">
        <x:f>IF(OR(T90="",T90=0,W90=""),"",W90/T90)</x:f>
      </x:c>
      <x:c r="Y90" s="33"/>
      <x:c r="Z90" s="33"/>
      <x:c r="AA90" s="34" t="str">
        <x:f>IF(A90="","",IF(OR(H90="",I90="",J90="",K90="",S90="",T90="",Z90=""),"STOP: 確認不足",IF(W90&lt;=0,"STOP: 利益なし","確認済み")))</x:f>
      </x:c>
      <x:c r="AB90" s="40"/>
      <x:c r="AC90" s="40"/>
      <x:c r="AD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9"/>
      <x:c r="K91" s="33"/>
      <x:c r="L91" s="33"/>
      <x:c r="M91" s="35"/>
      <x:c r="N91" s="35"/>
      <x:c r="O91" s="35"/>
      <x:c r="P91" s="35"/>
      <x:c r="Q91" s="35"/>
      <x:c r="R91" s="35"/>
      <x:c r="S91" s="37" t="str">
        <x:f>IF(OR(A91="",'設定'!$B$4=""),"",'設定'!$B$4)</x:f>
      </x:c>
      <x:c r="T91" s="35"/>
      <x:c r="U91" s="36" t="str">
        <x:f>IF(OR(T91="",S91=""),"",T91*S91)</x:f>
      </x:c>
      <x:c r="V91" s="36" t="str">
        <x:f>IF(OR(A91="",U91=""),"",SUM(M91:R91,U91))</x:f>
      </x:c>
      <x:c r="W91" s="36" t="str">
        <x:f>IF(OR(T91="",V91=""),"",T91-V91)</x:f>
      </x:c>
      <x:c r="X91" s="38" t="str">
        <x:f>IF(OR(T91="",T91=0,W91=""),"",W91/T91)</x:f>
      </x:c>
      <x:c r="Y91" s="33"/>
      <x:c r="Z91" s="33"/>
      <x:c r="AA91" s="34" t="str">
        <x:f>IF(A91="","",IF(OR(H91="",I91="",J91="",K91="",S91="",T91="",Z91=""),"STOP: 確認不足",IF(W91&lt;=0,"STOP: 利益なし","確認済み")))</x:f>
      </x:c>
      <x:c r="AB91" s="40"/>
      <x:c r="AC91" s="40"/>
      <x:c r="AD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9"/>
      <x:c r="K92" s="33"/>
      <x:c r="L92" s="33"/>
      <x:c r="M92" s="35"/>
      <x:c r="N92" s="35"/>
      <x:c r="O92" s="35"/>
      <x:c r="P92" s="35"/>
      <x:c r="Q92" s="35"/>
      <x:c r="R92" s="35"/>
      <x:c r="S92" s="37" t="str">
        <x:f>IF(OR(A92="",'設定'!$B$4=""),"",'設定'!$B$4)</x:f>
      </x:c>
      <x:c r="T92" s="35"/>
      <x:c r="U92" s="36" t="str">
        <x:f>IF(OR(T92="",S92=""),"",T92*S92)</x:f>
      </x:c>
      <x:c r="V92" s="36" t="str">
        <x:f>IF(OR(A92="",U92=""),"",SUM(M92:R92,U92))</x:f>
      </x:c>
      <x:c r="W92" s="36" t="str">
        <x:f>IF(OR(T92="",V92=""),"",T92-V92)</x:f>
      </x:c>
      <x:c r="X92" s="38" t="str">
        <x:f>IF(OR(T92="",T92=0,W92=""),"",W92/T92)</x:f>
      </x:c>
      <x:c r="Y92" s="33"/>
      <x:c r="Z92" s="33"/>
      <x:c r="AA92" s="34" t="str">
        <x:f>IF(A92="","",IF(OR(H92="",I92="",J92="",K92="",S92="",T92="",Z92=""),"STOP: 確認不足",IF(W92&lt;=0,"STOP: 利益なし","確認済み")))</x:f>
      </x:c>
      <x:c r="AB92" s="40"/>
      <x:c r="AC92" s="40"/>
      <x:c r="AD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9"/>
      <x:c r="K93" s="33"/>
      <x:c r="L93" s="33"/>
      <x:c r="M93" s="35"/>
      <x:c r="N93" s="35"/>
      <x:c r="O93" s="35"/>
      <x:c r="P93" s="35"/>
      <x:c r="Q93" s="35"/>
      <x:c r="R93" s="35"/>
      <x:c r="S93" s="37" t="str">
        <x:f>IF(OR(A93="",'設定'!$B$4=""),"",'設定'!$B$4)</x:f>
      </x:c>
      <x:c r="T93" s="35"/>
      <x:c r="U93" s="36" t="str">
        <x:f>IF(OR(T93="",S93=""),"",T93*S93)</x:f>
      </x:c>
      <x:c r="V93" s="36" t="str">
        <x:f>IF(OR(A93="",U93=""),"",SUM(M93:R93,U93))</x:f>
      </x:c>
      <x:c r="W93" s="36" t="str">
        <x:f>IF(OR(T93="",V93=""),"",T93-V93)</x:f>
      </x:c>
      <x:c r="X93" s="38" t="str">
        <x:f>IF(OR(T93="",T93=0,W93=""),"",W93/T93)</x:f>
      </x:c>
      <x:c r="Y93" s="33"/>
      <x:c r="Z93" s="33"/>
      <x:c r="AA93" s="34" t="str">
        <x:f>IF(A93="","",IF(OR(H93="",I93="",J93="",K93="",S93="",T93="",Z93=""),"STOP: 確認不足",IF(W93&lt;=0,"STOP: 利益なし","確認済み")))</x:f>
      </x:c>
      <x:c r="AB93" s="40"/>
      <x:c r="AC93" s="40"/>
      <x:c r="AD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9"/>
      <x:c r="K94" s="33"/>
      <x:c r="L94" s="33"/>
      <x:c r="M94" s="35"/>
      <x:c r="N94" s="35"/>
      <x:c r="O94" s="35"/>
      <x:c r="P94" s="35"/>
      <x:c r="Q94" s="35"/>
      <x:c r="R94" s="35"/>
      <x:c r="S94" s="37" t="str">
        <x:f>IF(OR(A94="",'設定'!$B$4=""),"",'設定'!$B$4)</x:f>
      </x:c>
      <x:c r="T94" s="35"/>
      <x:c r="U94" s="36" t="str">
        <x:f>IF(OR(T94="",S94=""),"",T94*S94)</x:f>
      </x:c>
      <x:c r="V94" s="36" t="str">
        <x:f>IF(OR(A94="",U94=""),"",SUM(M94:R94,U94))</x:f>
      </x:c>
      <x:c r="W94" s="36" t="str">
        <x:f>IF(OR(T94="",V94=""),"",T94-V94)</x:f>
      </x:c>
      <x:c r="X94" s="38" t="str">
        <x:f>IF(OR(T94="",T94=0,W94=""),"",W94/T94)</x:f>
      </x:c>
      <x:c r="Y94" s="33"/>
      <x:c r="Z94" s="33"/>
      <x:c r="AA94" s="34" t="str">
        <x:f>IF(A94="","",IF(OR(H94="",I94="",J94="",K94="",S94="",T94="",Z94=""),"STOP: 確認不足",IF(W94&lt;=0,"STOP: 利益なし","確認済み")))</x:f>
      </x:c>
      <x:c r="AB94" s="40"/>
      <x:c r="AC94" s="40"/>
      <x:c r="AD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9"/>
      <x:c r="K95" s="33"/>
      <x:c r="L95" s="33"/>
      <x:c r="M95" s="35"/>
      <x:c r="N95" s="35"/>
      <x:c r="O95" s="35"/>
      <x:c r="P95" s="35"/>
      <x:c r="Q95" s="35"/>
      <x:c r="R95" s="35"/>
      <x:c r="S95" s="37" t="str">
        <x:f>IF(OR(A95="",'設定'!$B$4=""),"",'設定'!$B$4)</x:f>
      </x:c>
      <x:c r="T95" s="35"/>
      <x:c r="U95" s="36" t="str">
        <x:f>IF(OR(T95="",S95=""),"",T95*S95)</x:f>
      </x:c>
      <x:c r="V95" s="36" t="str">
        <x:f>IF(OR(A95="",U95=""),"",SUM(M95:R95,U95))</x:f>
      </x:c>
      <x:c r="W95" s="36" t="str">
        <x:f>IF(OR(T95="",V95=""),"",T95-V95)</x:f>
      </x:c>
      <x:c r="X95" s="38" t="str">
        <x:f>IF(OR(T95="",T95=0,W95=""),"",W95/T95)</x:f>
      </x:c>
      <x:c r="Y95" s="33"/>
      <x:c r="Z95" s="33"/>
      <x:c r="AA95" s="34" t="str">
        <x:f>IF(A95="","",IF(OR(H95="",I95="",J95="",K95="",S95="",T95="",Z95=""),"STOP: 確認不足",IF(W95&lt;=0,"STOP: 利益なし","確認済み")))</x:f>
      </x:c>
      <x:c r="AB95" s="40"/>
      <x:c r="AC95" s="40"/>
      <x:c r="AD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9"/>
      <x:c r="K96" s="33"/>
      <x:c r="L96" s="33"/>
      <x:c r="M96" s="35"/>
      <x:c r="N96" s="35"/>
      <x:c r="O96" s="35"/>
      <x:c r="P96" s="35"/>
      <x:c r="Q96" s="35"/>
      <x:c r="R96" s="35"/>
      <x:c r="S96" s="37" t="str">
        <x:f>IF(OR(A96="",'設定'!$B$4=""),"",'設定'!$B$4)</x:f>
      </x:c>
      <x:c r="T96" s="35"/>
      <x:c r="U96" s="36" t="str">
        <x:f>IF(OR(T96="",S96=""),"",T96*S96)</x:f>
      </x:c>
      <x:c r="V96" s="36" t="str">
        <x:f>IF(OR(A96="",U96=""),"",SUM(M96:R96,U96))</x:f>
      </x:c>
      <x:c r="W96" s="36" t="str">
        <x:f>IF(OR(T96="",V96=""),"",T96-V96)</x:f>
      </x:c>
      <x:c r="X96" s="38" t="str">
        <x:f>IF(OR(T96="",T96=0,W96=""),"",W96/T96)</x:f>
      </x:c>
      <x:c r="Y96" s="33"/>
      <x:c r="Z96" s="33"/>
      <x:c r="AA96" s="34" t="str">
        <x:f>IF(A96="","",IF(OR(H96="",I96="",J96="",K96="",S96="",T96="",Z96=""),"STOP: 確認不足",IF(W96&lt;=0,"STOP: 利益なし","確認済み")))</x:f>
      </x:c>
      <x:c r="AB96" s="40"/>
      <x:c r="AC96" s="40"/>
      <x:c r="AD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9"/>
      <x:c r="K97" s="33"/>
      <x:c r="L97" s="33"/>
      <x:c r="M97" s="35"/>
      <x:c r="N97" s="35"/>
      <x:c r="O97" s="35"/>
      <x:c r="P97" s="35"/>
      <x:c r="Q97" s="35"/>
      <x:c r="R97" s="35"/>
      <x:c r="S97" s="37" t="str">
        <x:f>IF(OR(A97="",'設定'!$B$4=""),"",'設定'!$B$4)</x:f>
      </x:c>
      <x:c r="T97" s="35"/>
      <x:c r="U97" s="36" t="str">
        <x:f>IF(OR(T97="",S97=""),"",T97*S97)</x:f>
      </x:c>
      <x:c r="V97" s="36" t="str">
        <x:f>IF(OR(A97="",U97=""),"",SUM(M97:R97,U97))</x:f>
      </x:c>
      <x:c r="W97" s="36" t="str">
        <x:f>IF(OR(T97="",V97=""),"",T97-V97)</x:f>
      </x:c>
      <x:c r="X97" s="38" t="str">
        <x:f>IF(OR(T97="",T97=0,W97=""),"",W97/T97)</x:f>
      </x:c>
      <x:c r="Y97" s="33"/>
      <x:c r="Z97" s="33"/>
      <x:c r="AA97" s="34" t="str">
        <x:f>IF(A97="","",IF(OR(H97="",I97="",J97="",K97="",S97="",T97="",Z97=""),"STOP: 確認不足",IF(W97&lt;=0,"STOP: 利益なし","確認済み")))</x:f>
      </x:c>
      <x:c r="AB97" s="40"/>
      <x:c r="AC97" s="40"/>
      <x:c r="AD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9"/>
      <x:c r="K98" s="33"/>
      <x:c r="L98" s="33"/>
      <x:c r="M98" s="35"/>
      <x:c r="N98" s="35"/>
      <x:c r="O98" s="35"/>
      <x:c r="P98" s="35"/>
      <x:c r="Q98" s="35"/>
      <x:c r="R98" s="35"/>
      <x:c r="S98" s="37" t="str">
        <x:f>IF(OR(A98="",'設定'!$B$4=""),"",'設定'!$B$4)</x:f>
      </x:c>
      <x:c r="T98" s="35"/>
      <x:c r="U98" s="36" t="str">
        <x:f>IF(OR(T98="",S98=""),"",T98*S98)</x:f>
      </x:c>
      <x:c r="V98" s="36" t="str">
        <x:f>IF(OR(A98="",U98=""),"",SUM(M98:R98,U98))</x:f>
      </x:c>
      <x:c r="W98" s="36" t="str">
        <x:f>IF(OR(T98="",V98=""),"",T98-V98)</x:f>
      </x:c>
      <x:c r="X98" s="38" t="str">
        <x:f>IF(OR(T98="",T98=0,W98=""),"",W98/T98)</x:f>
      </x:c>
      <x:c r="Y98" s="33"/>
      <x:c r="Z98" s="33"/>
      <x:c r="AA98" s="34" t="str">
        <x:f>IF(A98="","",IF(OR(H98="",I98="",J98="",K98="",S98="",T98="",Z98=""),"STOP: 確認不足",IF(W98&lt;=0,"STOP: 利益なし","確認済み")))</x:f>
      </x:c>
      <x:c r="AB98" s="40"/>
      <x:c r="AC98" s="40"/>
      <x:c r="AD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9"/>
      <x:c r="K99" s="33"/>
      <x:c r="L99" s="33"/>
      <x:c r="M99" s="35"/>
      <x:c r="N99" s="35"/>
      <x:c r="O99" s="35"/>
      <x:c r="P99" s="35"/>
      <x:c r="Q99" s="35"/>
      <x:c r="R99" s="35"/>
      <x:c r="S99" s="37" t="str">
        <x:f>IF(OR(A99="",'設定'!$B$4=""),"",'設定'!$B$4)</x:f>
      </x:c>
      <x:c r="T99" s="35"/>
      <x:c r="U99" s="36" t="str">
        <x:f>IF(OR(T99="",S99=""),"",T99*S99)</x:f>
      </x:c>
      <x:c r="V99" s="36" t="str">
        <x:f>IF(OR(A99="",U99=""),"",SUM(M99:R99,U99))</x:f>
      </x:c>
      <x:c r="W99" s="36" t="str">
        <x:f>IF(OR(T99="",V99=""),"",T99-V99)</x:f>
      </x:c>
      <x:c r="X99" s="38" t="str">
        <x:f>IF(OR(T99="",T99=0,W99=""),"",W99/T99)</x:f>
      </x:c>
      <x:c r="Y99" s="33"/>
      <x:c r="Z99" s="33"/>
      <x:c r="AA99" s="34" t="str">
        <x:f>IF(A99="","",IF(OR(H99="",I99="",J99="",K99="",S99="",T99="",Z99=""),"STOP: 確認不足",IF(W99&lt;=0,"STOP: 利益なし","確認済み")))</x:f>
      </x:c>
      <x:c r="AB99" s="40"/>
      <x:c r="AC99" s="40"/>
      <x:c r="AD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9"/>
      <x:c r="K100" s="33"/>
      <x:c r="L100" s="33"/>
      <x:c r="M100" s="35"/>
      <x:c r="N100" s="35"/>
      <x:c r="O100" s="35"/>
      <x:c r="P100" s="35"/>
      <x:c r="Q100" s="35"/>
      <x:c r="R100" s="35"/>
      <x:c r="S100" s="37" t="str">
        <x:f>IF(OR(A100="",'設定'!$B$4=""),"",'設定'!$B$4)</x:f>
      </x:c>
      <x:c r="T100" s="35"/>
      <x:c r="U100" s="36" t="str">
        <x:f>IF(OR(T100="",S100=""),"",T100*S100)</x:f>
      </x:c>
      <x:c r="V100" s="36" t="str">
        <x:f>IF(OR(A100="",U100=""),"",SUM(M100:R100,U100))</x:f>
      </x:c>
      <x:c r="W100" s="36" t="str">
        <x:f>IF(OR(T100="",V100=""),"",T100-V100)</x:f>
      </x:c>
      <x:c r="X100" s="38" t="str">
        <x:f>IF(OR(T100="",T100=0,W100=""),"",W100/T100)</x:f>
      </x:c>
      <x:c r="Y100" s="33"/>
      <x:c r="Z100" s="33"/>
      <x:c r="AA100" s="34" t="str">
        <x:f>IF(A100="","",IF(OR(H100="",I100="",J100="",K100="",S100="",T100="",Z100=""),"STOP: 確認不足",IF(W100&lt;=0,"STOP: 利益なし","確認済み")))</x:f>
      </x:c>
      <x:c r="AB100" s="40"/>
      <x:c r="AC100" s="40"/>
      <x:c r="AD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9"/>
      <x:c r="K101" s="33"/>
      <x:c r="L101" s="33"/>
      <x:c r="M101" s="35"/>
      <x:c r="N101" s="35"/>
      <x:c r="O101" s="35"/>
      <x:c r="P101" s="35"/>
      <x:c r="Q101" s="35"/>
      <x:c r="R101" s="35"/>
      <x:c r="S101" s="37" t="str">
        <x:f>IF(OR(A101="",'設定'!$B$4=""),"",'設定'!$B$4)</x:f>
      </x:c>
      <x:c r="T101" s="35"/>
      <x:c r="U101" s="36" t="str">
        <x:f>IF(OR(T101="",S101=""),"",T101*S101)</x:f>
      </x:c>
      <x:c r="V101" s="36" t="str">
        <x:f>IF(OR(A101="",U101=""),"",SUM(M101:R101,U101))</x:f>
      </x:c>
      <x:c r="W101" s="36" t="str">
        <x:f>IF(OR(T101="",V101=""),"",T101-V101)</x:f>
      </x:c>
      <x:c r="X101" s="38" t="str">
        <x:f>IF(OR(T101="",T101=0,W101=""),"",W101/T101)</x:f>
      </x:c>
      <x:c r="Y101" s="33"/>
      <x:c r="Z101" s="33"/>
      <x:c r="AA101" s="34" t="str">
        <x:f>IF(A101="","",IF(OR(H101="",I101="",J101="",K101="",S101="",T101="",Z101=""),"STOP: 確認不足",IF(W101&lt;=0,"STOP: 利益なし","確認済み")))</x:f>
      </x:c>
      <x:c r="AB101" s="40"/>
      <x:c r="AC101" s="40"/>
      <x:c r="AD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9"/>
      <x:c r="K102" s="33"/>
      <x:c r="L102" s="33"/>
      <x:c r="M102" s="35"/>
      <x:c r="N102" s="35"/>
      <x:c r="O102" s="35"/>
      <x:c r="P102" s="35"/>
      <x:c r="Q102" s="35"/>
      <x:c r="R102" s="35"/>
      <x:c r="S102" s="37" t="str">
        <x:f>IF(OR(A102="",'設定'!$B$4=""),"",'設定'!$B$4)</x:f>
      </x:c>
      <x:c r="T102" s="35"/>
      <x:c r="U102" s="36" t="str">
        <x:f>IF(OR(T102="",S102=""),"",T102*S102)</x:f>
      </x:c>
      <x:c r="V102" s="36" t="str">
        <x:f>IF(OR(A102="",U102=""),"",SUM(M102:R102,U102))</x:f>
      </x:c>
      <x:c r="W102" s="36" t="str">
        <x:f>IF(OR(T102="",V102=""),"",T102-V102)</x:f>
      </x:c>
      <x:c r="X102" s="38" t="str">
        <x:f>IF(OR(T102="",T102=0,W102=""),"",W102/T102)</x:f>
      </x:c>
      <x:c r="Y102" s="33"/>
      <x:c r="Z102" s="33"/>
      <x:c r="AA102" s="34" t="str">
        <x:f>IF(A102="","",IF(OR(H102="",I102="",J102="",K102="",S102="",T102="",Z102=""),"STOP: 確認不足",IF(W102&lt;=0,"STOP: 利益なし","確認済み")))</x:f>
      </x:c>
      <x:c r="AB102" s="40"/>
      <x:c r="AC102" s="40"/>
      <x:c r="AD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9"/>
      <x:c r="K103" s="33"/>
      <x:c r="L103" s="33"/>
      <x:c r="M103" s="35"/>
      <x:c r="N103" s="35"/>
      <x:c r="O103" s="35"/>
      <x:c r="P103" s="35"/>
      <x:c r="Q103" s="35"/>
      <x:c r="R103" s="35"/>
      <x:c r="S103" s="37" t="str">
        <x:f>IF(OR(A103="",'設定'!$B$4=""),"",'設定'!$B$4)</x:f>
      </x:c>
      <x:c r="T103" s="35"/>
      <x:c r="U103" s="36" t="str">
        <x:f>IF(OR(T103="",S103=""),"",T103*S103)</x:f>
      </x:c>
      <x:c r="V103" s="36" t="str">
        <x:f>IF(OR(A103="",U103=""),"",SUM(M103:R103,U103))</x:f>
      </x:c>
      <x:c r="W103" s="36" t="str">
        <x:f>IF(OR(T103="",V103=""),"",T103-V103)</x:f>
      </x:c>
      <x:c r="X103" s="38" t="str">
        <x:f>IF(OR(T103="",T103=0,W103=""),"",W103/T103)</x:f>
      </x:c>
      <x:c r="Y103" s="33"/>
      <x:c r="Z103" s="33"/>
      <x:c r="AA103" s="34" t="str">
        <x:f>IF(A103="","",IF(OR(H103="",I103="",J103="",K103="",S103="",T103="",Z103=""),"STOP: 確認不足",IF(W103&lt;=0,"STOP: 利益なし","確認済み")))</x:f>
      </x:c>
      <x:c r="AB103" s="40"/>
      <x:c r="AC103" s="40"/>
      <x:c r="AD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9"/>
      <x:c r="K104" s="33"/>
      <x:c r="L104" s="33"/>
      <x:c r="M104" s="35"/>
      <x:c r="N104" s="35"/>
      <x:c r="O104" s="35"/>
      <x:c r="P104" s="35"/>
      <x:c r="Q104" s="35"/>
      <x:c r="R104" s="35"/>
      <x:c r="S104" s="37" t="str">
        <x:f>IF(OR(A104="",'設定'!$B$4=""),"",'設定'!$B$4)</x:f>
      </x:c>
      <x:c r="T104" s="35"/>
      <x:c r="U104" s="36" t="str">
        <x:f>IF(OR(T104="",S104=""),"",T104*S104)</x:f>
      </x:c>
      <x:c r="V104" s="36" t="str">
        <x:f>IF(OR(A104="",U104=""),"",SUM(M104:R104,U104))</x:f>
      </x:c>
      <x:c r="W104" s="36" t="str">
        <x:f>IF(OR(T104="",V104=""),"",T104-V104)</x:f>
      </x:c>
      <x:c r="X104" s="38" t="str">
        <x:f>IF(OR(T104="",T104=0,W104=""),"",W104/T104)</x:f>
      </x:c>
      <x:c r="Y104" s="33"/>
      <x:c r="Z104" s="33"/>
      <x:c r="AA104" s="34" t="str">
        <x:f>IF(A104="","",IF(OR(H104="",I104="",J104="",K104="",S104="",T104="",Z104=""),"STOP: 確認不足",IF(W104&lt;=0,"STOP: 利益なし","確認済み")))</x:f>
      </x:c>
      <x:c r="AB104" s="40"/>
      <x:c r="AC104" s="40"/>
      <x:c r="AD104" s="33"/>
    </x:row>
  </x:sheetData>
  <x:mergeCells>
    <x:mergeCell ref="A1:AD1"/>
    <x:mergeCell ref="A2:AD2"/>
  </x:mergeCells>
  <x:conditionalFormatting sqref="AA5:AA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1">
    <x:dataValidation type="list" sqref="B5:B104">
      <x:formula1>"候補,確認中,下書き,承認待ち,公開,停止"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出品管理の設定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現行率を自分の画面で確認して入力します。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公式確認先</x:v>
      </x:c>
      <x:c r="B6" s="8" t="str">
        <x:v>https://qa.buyma.com/shopper/</x:v>
      </x:c>
      <x:c r="C6" s="12" t="str">
        <x:v>禁止買付先、画像権利、出品項目も公開前に再確認します。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出品管理表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候補登録から公開前承認、利益確認、更新日までを1商品1行で管理します。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権利不明の画像、販売元不明、利益未計算、確認者未承認の行は公開しません。</x:v>
      </x:c>
    </x:row>
    <x:row r="10" ht="32" customHeight="1">
      <x:c r="A10" s="15" t="str">
        <x:v>公式確認先 1</x:v>
      </x:c>
      <x:c r="B10" s="19" t="str">
        <x:v>https://qa.buyma.com/shopper/prohibited-item/4007.html</x:v>
      </x:c>
    </x:row>
    <x:row r="11" ht="32" customHeight="1">
      <x:c r="A11" s="15" t="str">
        <x:v>公式確認先 2</x:v>
      </x:c>
      <x:c r="B11" s="19" t="str">
        <x:v>https://qa.buyma.com/shopper/prohibited-item/15733.html</x:v>
      </x:c>
    </x:row>
    <x:row r="12" ht="32" customHeight="1">
      <x:c r="A12" s="15" t="str">
        <x:v>公式確認先 3</x:v>
      </x:c>
      <x:c r="B12" s="19" t="str">
        <x:v>https://qa.buyma.com/shopper/sell/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8" hidden="0" customWidth="1"/>
    <x:col min="4" max="4" width="14" hidden="0" customWidth="1"/>
    <x:col min="5" max="5" width="14" hidden="0" customWidth="1"/>
    <x:col min="6" max="6" width="13" hidden="0" customWidth="1"/>
    <x:col min="7" max="7" width="16" hidden="0" customWidth="1"/>
    <x:col min="8" max="8" width="13" hidden="0" customWidth="1"/>
    <x:col min="9" max="9" width="40" hidden="0" customWidth="1"/>
    <x:col min="10" max="10" width="14" hidden="0" customWidth="1"/>
    <x:col min="11" max="11" width="28" hidden="0" customWidth="1"/>
  </x:cols>
  <x:sheetData>
    <x:row r="1" ht="32" customHeight="1">
      <x:c r="A1" s="21" t="str">
        <x:v>関税・分類確認</x:v>
      </x:c>
      <x:c r="B1" s="21"/>
      <x:c r="C1" s="21"/>
      <x:c r="D1" s="21"/>
      <x:c r="E1" s="21"/>
      <x:c r="F1" s="21"/>
      <x:c r="G1" s="21"/>
      <x:c r="H1" s="21"/>
      <x:c r="I1" s="21"/>
      <x:c r="J1" s="21"/>
      <x:c r="K1" s="21"/>
    </x:row>
    <x:row r="2" ht="34" customHeight="1">
      <x:c r="A2" s="24" t="str">
        <x:v>一律税率を使わず、商品分類・素材・原産国・発送国と公式根拠を記録します。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4" ht="42" customHeight="1">
      <x:c r="A4" s="32" t="str">
        <x:v>管理番号</x:v>
      </x:c>
      <x:c r="B4" s="32" t="str">
        <x:v>商品分類</x:v>
      </x:c>
      <x:c r="C4" s="32" t="str">
        <x:v>素材</x:v>
      </x:c>
      <x:c r="D4" s="32" t="str">
        <x:v>原産国</x:v>
      </x:c>
      <x:c r="E4" s="32" t="str">
        <x:v>発送国</x:v>
      </x:c>
      <x:c r="F4" s="32" t="str">
        <x:v>想定税率</x:v>
      </x:c>
      <x:c r="G4" s="32" t="str">
        <x:v>関税等見込額</x:v>
      </x:c>
      <x:c r="H4" s="32" t="str">
        <x:v>確認日</x:v>
      </x:c>
      <x:c r="I4" s="32" t="str">
        <x:v>根拠URL</x:v>
      </x:c>
      <x:c r="J4" s="32" t="str">
        <x:v>確認者</x:v>
      </x:c>
      <x:c r="K4" s="32" t="str">
        <x:v>備考</x:v>
      </x:c>
    </x:row>
    <x:row r="5">
      <x:c r="A5" s="33"/>
      <x:c r="B5" s="33"/>
      <x:c r="C5" s="33"/>
      <x:c r="D5" s="33"/>
      <x:c r="E5" s="33"/>
      <x:c r="F5" s="41"/>
      <x:c r="G5" s="41"/>
      <x:c r="H5" s="40"/>
      <x:c r="I5" s="33"/>
      <x:c r="J5" s="33"/>
      <x:c r="K5" s="33"/>
    </x:row>
    <x:row r="6">
      <x:c r="A6" s="33"/>
      <x:c r="B6" s="33"/>
      <x:c r="C6" s="33"/>
      <x:c r="D6" s="33"/>
      <x:c r="E6" s="33"/>
      <x:c r="F6" s="41"/>
      <x:c r="G6" s="41"/>
      <x:c r="H6" s="40"/>
      <x:c r="I6" s="33"/>
      <x:c r="J6" s="33"/>
      <x:c r="K6" s="33"/>
    </x:row>
    <x:row r="7">
      <x:c r="A7" s="33"/>
      <x:c r="B7" s="33"/>
      <x:c r="C7" s="33"/>
      <x:c r="D7" s="33"/>
      <x:c r="E7" s="33"/>
      <x:c r="F7" s="41"/>
      <x:c r="G7" s="41"/>
      <x:c r="H7" s="40"/>
      <x:c r="I7" s="33"/>
      <x:c r="J7" s="33"/>
      <x:c r="K7" s="33"/>
    </x:row>
    <x:row r="8">
      <x:c r="A8" s="33"/>
      <x:c r="B8" s="33"/>
      <x:c r="C8" s="33"/>
      <x:c r="D8" s="33"/>
      <x:c r="E8" s="33"/>
      <x:c r="F8" s="41"/>
      <x:c r="G8" s="41"/>
      <x:c r="H8" s="40"/>
      <x:c r="I8" s="33"/>
      <x:c r="J8" s="33"/>
      <x:c r="K8" s="33"/>
    </x:row>
    <x:row r="9">
      <x:c r="A9" s="33"/>
      <x:c r="B9" s="33"/>
      <x:c r="C9" s="33"/>
      <x:c r="D9" s="33"/>
      <x:c r="E9" s="33"/>
      <x:c r="F9" s="41"/>
      <x:c r="G9" s="41"/>
      <x:c r="H9" s="40"/>
      <x:c r="I9" s="33"/>
      <x:c r="J9" s="33"/>
      <x:c r="K9" s="33"/>
    </x:row>
    <x:row r="10">
      <x:c r="A10" s="33"/>
      <x:c r="B10" s="33"/>
      <x:c r="C10" s="33"/>
      <x:c r="D10" s="33"/>
      <x:c r="E10" s="33"/>
      <x:c r="F10" s="41"/>
      <x:c r="G10" s="41"/>
      <x:c r="H10" s="40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41"/>
      <x:c r="G11" s="41"/>
      <x:c r="H11" s="40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41"/>
      <x:c r="G12" s="41"/>
      <x:c r="H12" s="40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41"/>
      <x:c r="G13" s="41"/>
      <x:c r="H13" s="40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41"/>
      <x:c r="G14" s="41"/>
      <x:c r="H14" s="40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41"/>
      <x:c r="G15" s="41"/>
      <x:c r="H15" s="40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41"/>
      <x:c r="G16" s="41"/>
      <x:c r="H16" s="40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41"/>
      <x:c r="G17" s="41"/>
      <x:c r="H17" s="40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41"/>
      <x:c r="G18" s="41"/>
      <x:c r="H18" s="40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41"/>
      <x:c r="G19" s="41"/>
      <x:c r="H19" s="40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41"/>
      <x:c r="G20" s="41"/>
      <x:c r="H20" s="40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41"/>
      <x:c r="G21" s="41"/>
      <x:c r="H21" s="40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41"/>
      <x:c r="G22" s="41"/>
      <x:c r="H22" s="40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41"/>
      <x:c r="G23" s="41"/>
      <x:c r="H23" s="40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41"/>
      <x:c r="G24" s="41"/>
      <x:c r="H24" s="40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41"/>
      <x:c r="G25" s="41"/>
      <x:c r="H25" s="40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41"/>
      <x:c r="G26" s="41"/>
      <x:c r="H26" s="40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41"/>
      <x:c r="G27" s="41"/>
      <x:c r="H27" s="40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41"/>
      <x:c r="G28" s="41"/>
      <x:c r="H28" s="40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41"/>
      <x:c r="G29" s="41"/>
      <x:c r="H29" s="40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41"/>
      <x:c r="G30" s="41"/>
      <x:c r="H30" s="40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41"/>
      <x:c r="G31" s="41"/>
      <x:c r="H31" s="40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41"/>
      <x:c r="G32" s="41"/>
      <x:c r="H32" s="40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41"/>
      <x:c r="G33" s="41"/>
      <x:c r="H33" s="40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41"/>
      <x:c r="G34" s="41"/>
      <x:c r="H34" s="40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41"/>
      <x:c r="G35" s="41"/>
      <x:c r="H35" s="40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41"/>
      <x:c r="G36" s="41"/>
      <x:c r="H36" s="40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41"/>
      <x:c r="G37" s="41"/>
      <x:c r="H37" s="40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41"/>
      <x:c r="G38" s="41"/>
      <x:c r="H38" s="40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41"/>
      <x:c r="G39" s="41"/>
      <x:c r="H39" s="40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41"/>
      <x:c r="G40" s="41"/>
      <x:c r="H40" s="40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41"/>
      <x:c r="G41" s="41"/>
      <x:c r="H41" s="40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41"/>
      <x:c r="G42" s="41"/>
      <x:c r="H42" s="40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41"/>
      <x:c r="G43" s="41"/>
      <x:c r="H43" s="40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41"/>
      <x:c r="G44" s="41"/>
      <x:c r="H44" s="40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41"/>
      <x:c r="G45" s="41"/>
      <x:c r="H45" s="40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41"/>
      <x:c r="G46" s="41"/>
      <x:c r="H46" s="40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41"/>
      <x:c r="G47" s="41"/>
      <x:c r="H47" s="40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41"/>
      <x:c r="G48" s="41"/>
      <x:c r="H48" s="40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41"/>
      <x:c r="G49" s="41"/>
      <x:c r="H49" s="40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41"/>
      <x:c r="G50" s="41"/>
      <x:c r="H50" s="40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41"/>
      <x:c r="G51" s="41"/>
      <x:c r="H51" s="40"/>
      <x:c r="I51" s="33"/>
      <x:c r="J51" s="33"/>
      <x:c r="K51" s="33"/>
    </x:row>
    <x:row r="52">
      <x:c r="A52" s="33"/>
      <x:c r="B52" s="33"/>
      <x:c r="C52" s="33"/>
      <x:c r="D52" s="33"/>
      <x:c r="E52" s="33"/>
      <x:c r="F52" s="41"/>
      <x:c r="G52" s="41"/>
      <x:c r="H52" s="40"/>
      <x:c r="I52" s="33"/>
      <x:c r="J52" s="33"/>
      <x:c r="K52" s="33"/>
    </x:row>
    <x:row r="53">
      <x:c r="A53" s="33"/>
      <x:c r="B53" s="33"/>
      <x:c r="C53" s="33"/>
      <x:c r="D53" s="33"/>
      <x:c r="E53" s="33"/>
      <x:c r="F53" s="41"/>
      <x:c r="G53" s="41"/>
      <x:c r="H53" s="40"/>
      <x:c r="I53" s="33"/>
      <x:c r="J53" s="33"/>
      <x:c r="K53" s="33"/>
    </x:row>
    <x:row r="54">
      <x:c r="A54" s="33"/>
      <x:c r="B54" s="33"/>
      <x:c r="C54" s="33"/>
      <x:c r="D54" s="33"/>
      <x:c r="E54" s="33"/>
      <x:c r="F54" s="41"/>
      <x:c r="G54" s="41"/>
      <x:c r="H54" s="40"/>
      <x:c r="I54" s="33"/>
      <x:c r="J54" s="33"/>
      <x:c r="K54" s="33"/>
    </x:row>
    <x:row r="55">
      <x:c r="A55" s="33"/>
      <x:c r="B55" s="33"/>
      <x:c r="C55" s="33"/>
      <x:c r="D55" s="33"/>
      <x:c r="E55" s="33"/>
      <x:c r="F55" s="41"/>
      <x:c r="G55" s="41"/>
      <x:c r="H55" s="40"/>
      <x:c r="I55" s="33"/>
      <x:c r="J55" s="33"/>
      <x:c r="K55" s="33"/>
    </x:row>
    <x:row r="56">
      <x:c r="A56" s="33"/>
      <x:c r="B56" s="33"/>
      <x:c r="C56" s="33"/>
      <x:c r="D56" s="33"/>
      <x:c r="E56" s="33"/>
      <x:c r="F56" s="41"/>
      <x:c r="G56" s="41"/>
      <x:c r="H56" s="40"/>
      <x:c r="I56" s="33"/>
      <x:c r="J56" s="33"/>
      <x:c r="K56" s="33"/>
    </x:row>
    <x:row r="57">
      <x:c r="A57" s="33"/>
      <x:c r="B57" s="33"/>
      <x:c r="C57" s="33"/>
      <x:c r="D57" s="33"/>
      <x:c r="E57" s="33"/>
      <x:c r="F57" s="41"/>
      <x:c r="G57" s="41"/>
      <x:c r="H57" s="40"/>
      <x:c r="I57" s="33"/>
      <x:c r="J57" s="33"/>
      <x:c r="K57" s="33"/>
    </x:row>
    <x:row r="58">
      <x:c r="A58" s="33"/>
      <x:c r="B58" s="33"/>
      <x:c r="C58" s="33"/>
      <x:c r="D58" s="33"/>
      <x:c r="E58" s="33"/>
      <x:c r="F58" s="41"/>
      <x:c r="G58" s="41"/>
      <x:c r="H58" s="40"/>
      <x:c r="I58" s="33"/>
      <x:c r="J58" s="33"/>
      <x:c r="K58" s="33"/>
    </x:row>
    <x:row r="59">
      <x:c r="A59" s="33"/>
      <x:c r="B59" s="33"/>
      <x:c r="C59" s="33"/>
      <x:c r="D59" s="33"/>
      <x:c r="E59" s="33"/>
      <x:c r="F59" s="41"/>
      <x:c r="G59" s="41"/>
      <x:c r="H59" s="40"/>
      <x:c r="I59" s="33"/>
      <x:c r="J59" s="33"/>
      <x:c r="K59" s="33"/>
    </x:row>
    <x:row r="60">
      <x:c r="A60" s="33"/>
      <x:c r="B60" s="33"/>
      <x:c r="C60" s="33"/>
      <x:c r="D60" s="33"/>
      <x:c r="E60" s="33"/>
      <x:c r="F60" s="41"/>
      <x:c r="G60" s="41"/>
      <x:c r="H60" s="40"/>
      <x:c r="I60" s="33"/>
      <x:c r="J60" s="33"/>
      <x:c r="K60" s="33"/>
    </x:row>
    <x:row r="61">
      <x:c r="A61" s="33"/>
      <x:c r="B61" s="33"/>
      <x:c r="C61" s="33"/>
      <x:c r="D61" s="33"/>
      <x:c r="E61" s="33"/>
      <x:c r="F61" s="41"/>
      <x:c r="G61" s="41"/>
      <x:c r="H61" s="40"/>
      <x:c r="I61" s="33"/>
      <x:c r="J61" s="33"/>
      <x:c r="K61" s="33"/>
    </x:row>
    <x:row r="62">
      <x:c r="A62" s="33"/>
      <x:c r="B62" s="33"/>
      <x:c r="C62" s="33"/>
      <x:c r="D62" s="33"/>
      <x:c r="E62" s="33"/>
      <x:c r="F62" s="41"/>
      <x:c r="G62" s="41"/>
      <x:c r="H62" s="40"/>
      <x:c r="I62" s="33"/>
      <x:c r="J62" s="33"/>
      <x:c r="K62" s="33"/>
    </x:row>
    <x:row r="63">
      <x:c r="A63" s="33"/>
      <x:c r="B63" s="33"/>
      <x:c r="C63" s="33"/>
      <x:c r="D63" s="33"/>
      <x:c r="E63" s="33"/>
      <x:c r="F63" s="41"/>
      <x:c r="G63" s="41"/>
      <x:c r="H63" s="40"/>
      <x:c r="I63" s="33"/>
      <x:c r="J63" s="33"/>
      <x:c r="K63" s="33"/>
    </x:row>
    <x:row r="64">
      <x:c r="A64" s="33"/>
      <x:c r="B64" s="33"/>
      <x:c r="C64" s="33"/>
      <x:c r="D64" s="33"/>
      <x:c r="E64" s="33"/>
      <x:c r="F64" s="41"/>
      <x:c r="G64" s="41"/>
      <x:c r="H64" s="40"/>
      <x:c r="I64" s="33"/>
      <x:c r="J64" s="33"/>
      <x:c r="K64" s="33"/>
    </x:row>
    <x:row r="65">
      <x:c r="A65" s="33"/>
      <x:c r="B65" s="33"/>
      <x:c r="C65" s="33"/>
      <x:c r="D65" s="33"/>
      <x:c r="E65" s="33"/>
      <x:c r="F65" s="41"/>
      <x:c r="G65" s="41"/>
      <x:c r="H65" s="40"/>
      <x:c r="I65" s="33"/>
      <x:c r="J65" s="33"/>
      <x:c r="K65" s="33"/>
    </x:row>
    <x:row r="66">
      <x:c r="A66" s="33"/>
      <x:c r="B66" s="33"/>
      <x:c r="C66" s="33"/>
      <x:c r="D66" s="33"/>
      <x:c r="E66" s="33"/>
      <x:c r="F66" s="41"/>
      <x:c r="G66" s="41"/>
      <x:c r="H66" s="40"/>
      <x:c r="I66" s="33"/>
      <x:c r="J66" s="33"/>
      <x:c r="K66" s="33"/>
    </x:row>
    <x:row r="67">
      <x:c r="A67" s="33"/>
      <x:c r="B67" s="33"/>
      <x:c r="C67" s="33"/>
      <x:c r="D67" s="33"/>
      <x:c r="E67" s="33"/>
      <x:c r="F67" s="41"/>
      <x:c r="G67" s="41"/>
      <x:c r="H67" s="40"/>
      <x:c r="I67" s="33"/>
      <x:c r="J67" s="33"/>
      <x:c r="K67" s="33"/>
    </x:row>
    <x:row r="68">
      <x:c r="A68" s="33"/>
      <x:c r="B68" s="33"/>
      <x:c r="C68" s="33"/>
      <x:c r="D68" s="33"/>
      <x:c r="E68" s="33"/>
      <x:c r="F68" s="41"/>
      <x:c r="G68" s="41"/>
      <x:c r="H68" s="40"/>
      <x:c r="I68" s="33"/>
      <x:c r="J68" s="33"/>
      <x:c r="K68" s="33"/>
    </x:row>
    <x:row r="69">
      <x:c r="A69" s="33"/>
      <x:c r="B69" s="33"/>
      <x:c r="C69" s="33"/>
      <x:c r="D69" s="33"/>
      <x:c r="E69" s="33"/>
      <x:c r="F69" s="41"/>
      <x:c r="G69" s="41"/>
      <x:c r="H69" s="40"/>
      <x:c r="I69" s="33"/>
      <x:c r="J69" s="33"/>
      <x:c r="K69" s="33"/>
    </x:row>
    <x:row r="70">
      <x:c r="A70" s="33"/>
      <x:c r="B70" s="33"/>
      <x:c r="C70" s="33"/>
      <x:c r="D70" s="33"/>
      <x:c r="E70" s="33"/>
      <x:c r="F70" s="41"/>
      <x:c r="G70" s="41"/>
      <x:c r="H70" s="40"/>
      <x:c r="I70" s="33"/>
      <x:c r="J70" s="33"/>
      <x:c r="K70" s="33"/>
    </x:row>
    <x:row r="71">
      <x:c r="A71" s="33"/>
      <x:c r="B71" s="33"/>
      <x:c r="C71" s="33"/>
      <x:c r="D71" s="33"/>
      <x:c r="E71" s="33"/>
      <x:c r="F71" s="41"/>
      <x:c r="G71" s="41"/>
      <x:c r="H71" s="40"/>
      <x:c r="I71" s="33"/>
      <x:c r="J71" s="33"/>
      <x:c r="K71" s="33"/>
    </x:row>
    <x:row r="72">
      <x:c r="A72" s="33"/>
      <x:c r="B72" s="33"/>
      <x:c r="C72" s="33"/>
      <x:c r="D72" s="33"/>
      <x:c r="E72" s="33"/>
      <x:c r="F72" s="41"/>
      <x:c r="G72" s="41"/>
      <x:c r="H72" s="40"/>
      <x:c r="I72" s="33"/>
      <x:c r="J72" s="33"/>
      <x:c r="K72" s="33"/>
    </x:row>
    <x:row r="73">
      <x:c r="A73" s="33"/>
      <x:c r="B73" s="33"/>
      <x:c r="C73" s="33"/>
      <x:c r="D73" s="33"/>
      <x:c r="E73" s="33"/>
      <x:c r="F73" s="41"/>
      <x:c r="G73" s="41"/>
      <x:c r="H73" s="40"/>
      <x:c r="I73" s="33"/>
      <x:c r="J73" s="33"/>
      <x:c r="K73" s="33"/>
    </x:row>
    <x:row r="74">
      <x:c r="A74" s="33"/>
      <x:c r="B74" s="33"/>
      <x:c r="C74" s="33"/>
      <x:c r="D74" s="33"/>
      <x:c r="E74" s="33"/>
      <x:c r="F74" s="41"/>
      <x:c r="G74" s="41"/>
      <x:c r="H74" s="40"/>
      <x:c r="I74" s="33"/>
      <x:c r="J74" s="33"/>
      <x:c r="K74" s="33"/>
    </x:row>
    <x:row r="75">
      <x:c r="A75" s="33"/>
      <x:c r="B75" s="33"/>
      <x:c r="C75" s="33"/>
      <x:c r="D75" s="33"/>
      <x:c r="E75" s="33"/>
      <x:c r="F75" s="41"/>
      <x:c r="G75" s="41"/>
      <x:c r="H75" s="40"/>
      <x:c r="I75" s="33"/>
      <x:c r="J75" s="33"/>
      <x:c r="K75" s="33"/>
    </x:row>
    <x:row r="76">
      <x:c r="A76" s="33"/>
      <x:c r="B76" s="33"/>
      <x:c r="C76" s="33"/>
      <x:c r="D76" s="33"/>
      <x:c r="E76" s="33"/>
      <x:c r="F76" s="41"/>
      <x:c r="G76" s="41"/>
      <x:c r="H76" s="40"/>
      <x:c r="I76" s="33"/>
      <x:c r="J76" s="33"/>
      <x:c r="K76" s="33"/>
    </x:row>
    <x:row r="77">
      <x:c r="A77" s="33"/>
      <x:c r="B77" s="33"/>
      <x:c r="C77" s="33"/>
      <x:c r="D77" s="33"/>
      <x:c r="E77" s="33"/>
      <x:c r="F77" s="41"/>
      <x:c r="G77" s="41"/>
      <x:c r="H77" s="40"/>
      <x:c r="I77" s="33"/>
      <x:c r="J77" s="33"/>
      <x:c r="K77" s="33"/>
    </x:row>
    <x:row r="78">
      <x:c r="A78" s="33"/>
      <x:c r="B78" s="33"/>
      <x:c r="C78" s="33"/>
      <x:c r="D78" s="33"/>
      <x:c r="E78" s="33"/>
      <x:c r="F78" s="41"/>
      <x:c r="G78" s="41"/>
      <x:c r="H78" s="40"/>
      <x:c r="I78" s="33"/>
      <x:c r="J78" s="33"/>
      <x:c r="K78" s="33"/>
    </x:row>
    <x:row r="79">
      <x:c r="A79" s="33"/>
      <x:c r="B79" s="33"/>
      <x:c r="C79" s="33"/>
      <x:c r="D79" s="33"/>
      <x:c r="E79" s="33"/>
      <x:c r="F79" s="41"/>
      <x:c r="G79" s="41"/>
      <x:c r="H79" s="40"/>
      <x:c r="I79" s="33"/>
      <x:c r="J79" s="33"/>
      <x:c r="K79" s="33"/>
    </x:row>
    <x:row r="80">
      <x:c r="A80" s="33"/>
      <x:c r="B80" s="33"/>
      <x:c r="C80" s="33"/>
      <x:c r="D80" s="33"/>
      <x:c r="E80" s="33"/>
      <x:c r="F80" s="41"/>
      <x:c r="G80" s="41"/>
      <x:c r="H80" s="40"/>
      <x:c r="I80" s="33"/>
      <x:c r="J80" s="33"/>
      <x:c r="K80" s="33"/>
    </x:row>
    <x:row r="81">
      <x:c r="A81" s="33"/>
      <x:c r="B81" s="33"/>
      <x:c r="C81" s="33"/>
      <x:c r="D81" s="33"/>
      <x:c r="E81" s="33"/>
      <x:c r="F81" s="41"/>
      <x:c r="G81" s="41"/>
      <x:c r="H81" s="40"/>
      <x:c r="I81" s="33"/>
      <x:c r="J81" s="33"/>
      <x:c r="K81" s="33"/>
    </x:row>
    <x:row r="82">
      <x:c r="A82" s="33"/>
      <x:c r="B82" s="33"/>
      <x:c r="C82" s="33"/>
      <x:c r="D82" s="33"/>
      <x:c r="E82" s="33"/>
      <x:c r="F82" s="41"/>
      <x:c r="G82" s="41"/>
      <x:c r="H82" s="40"/>
      <x:c r="I82" s="33"/>
      <x:c r="J82" s="33"/>
      <x:c r="K82" s="33"/>
    </x:row>
    <x:row r="83">
      <x:c r="A83" s="33"/>
      <x:c r="B83" s="33"/>
      <x:c r="C83" s="33"/>
      <x:c r="D83" s="33"/>
      <x:c r="E83" s="33"/>
      <x:c r="F83" s="41"/>
      <x:c r="G83" s="41"/>
      <x:c r="H83" s="40"/>
      <x:c r="I83" s="33"/>
      <x:c r="J83" s="33"/>
      <x:c r="K83" s="33"/>
    </x:row>
    <x:row r="84">
      <x:c r="A84" s="33"/>
      <x:c r="B84" s="33"/>
      <x:c r="C84" s="33"/>
      <x:c r="D84" s="33"/>
      <x:c r="E84" s="33"/>
      <x:c r="F84" s="41"/>
      <x:c r="G84" s="41"/>
      <x:c r="H84" s="40"/>
      <x:c r="I84" s="33"/>
      <x:c r="J84" s="33"/>
      <x:c r="K84" s="33"/>
    </x:row>
    <x:row r="85">
      <x:c r="A85" s="33"/>
      <x:c r="B85" s="33"/>
      <x:c r="C85" s="33"/>
      <x:c r="D85" s="33"/>
      <x:c r="E85" s="33"/>
      <x:c r="F85" s="41"/>
      <x:c r="G85" s="41"/>
      <x:c r="H85" s="40"/>
      <x:c r="I85" s="33"/>
      <x:c r="J85" s="33"/>
      <x:c r="K85" s="33"/>
    </x:row>
    <x:row r="86">
      <x:c r="A86" s="33"/>
      <x:c r="B86" s="33"/>
      <x:c r="C86" s="33"/>
      <x:c r="D86" s="33"/>
      <x:c r="E86" s="33"/>
      <x:c r="F86" s="41"/>
      <x:c r="G86" s="41"/>
      <x:c r="H86" s="40"/>
      <x:c r="I86" s="33"/>
      <x:c r="J86" s="33"/>
      <x:c r="K86" s="33"/>
    </x:row>
    <x:row r="87">
      <x:c r="A87" s="33"/>
      <x:c r="B87" s="33"/>
      <x:c r="C87" s="33"/>
      <x:c r="D87" s="33"/>
      <x:c r="E87" s="33"/>
      <x:c r="F87" s="41"/>
      <x:c r="G87" s="41"/>
      <x:c r="H87" s="40"/>
      <x:c r="I87" s="33"/>
      <x:c r="J87" s="33"/>
      <x:c r="K87" s="33"/>
    </x:row>
    <x:row r="88">
      <x:c r="A88" s="33"/>
      <x:c r="B88" s="33"/>
      <x:c r="C88" s="33"/>
      <x:c r="D88" s="33"/>
      <x:c r="E88" s="33"/>
      <x:c r="F88" s="41"/>
      <x:c r="G88" s="41"/>
      <x:c r="H88" s="40"/>
      <x:c r="I88" s="33"/>
      <x:c r="J88" s="33"/>
      <x:c r="K88" s="33"/>
    </x:row>
    <x:row r="89">
      <x:c r="A89" s="33"/>
      <x:c r="B89" s="33"/>
      <x:c r="C89" s="33"/>
      <x:c r="D89" s="33"/>
      <x:c r="E89" s="33"/>
      <x:c r="F89" s="41"/>
      <x:c r="G89" s="41"/>
      <x:c r="H89" s="40"/>
      <x:c r="I89" s="33"/>
      <x:c r="J89" s="33"/>
      <x:c r="K89" s="33"/>
    </x:row>
    <x:row r="90">
      <x:c r="A90" s="33"/>
      <x:c r="B90" s="33"/>
      <x:c r="C90" s="33"/>
      <x:c r="D90" s="33"/>
      <x:c r="E90" s="33"/>
      <x:c r="F90" s="41"/>
      <x:c r="G90" s="41"/>
      <x:c r="H90" s="40"/>
      <x:c r="I90" s="33"/>
      <x:c r="J90" s="33"/>
      <x:c r="K90" s="33"/>
    </x:row>
    <x:row r="91">
      <x:c r="A91" s="33"/>
      <x:c r="B91" s="33"/>
      <x:c r="C91" s="33"/>
      <x:c r="D91" s="33"/>
      <x:c r="E91" s="33"/>
      <x:c r="F91" s="41"/>
      <x:c r="G91" s="41"/>
      <x:c r="H91" s="40"/>
      <x:c r="I91" s="33"/>
      <x:c r="J91" s="33"/>
      <x:c r="K91" s="33"/>
    </x:row>
    <x:row r="92">
      <x:c r="A92" s="33"/>
      <x:c r="B92" s="33"/>
      <x:c r="C92" s="33"/>
      <x:c r="D92" s="33"/>
      <x:c r="E92" s="33"/>
      <x:c r="F92" s="41"/>
      <x:c r="G92" s="41"/>
      <x:c r="H92" s="40"/>
      <x:c r="I92" s="33"/>
      <x:c r="J92" s="33"/>
      <x:c r="K92" s="33"/>
    </x:row>
    <x:row r="93">
      <x:c r="A93" s="33"/>
      <x:c r="B93" s="33"/>
      <x:c r="C93" s="33"/>
      <x:c r="D93" s="33"/>
      <x:c r="E93" s="33"/>
      <x:c r="F93" s="41"/>
      <x:c r="G93" s="41"/>
      <x:c r="H93" s="40"/>
      <x:c r="I93" s="33"/>
      <x:c r="J93" s="33"/>
      <x:c r="K93" s="33"/>
    </x:row>
    <x:row r="94">
      <x:c r="A94" s="33"/>
      <x:c r="B94" s="33"/>
      <x:c r="C94" s="33"/>
      <x:c r="D94" s="33"/>
      <x:c r="E94" s="33"/>
      <x:c r="F94" s="41"/>
      <x:c r="G94" s="41"/>
      <x:c r="H94" s="40"/>
      <x:c r="I94" s="33"/>
      <x:c r="J94" s="33"/>
      <x:c r="K94" s="33"/>
    </x:row>
    <x:row r="95">
      <x:c r="A95" s="33"/>
      <x:c r="B95" s="33"/>
      <x:c r="C95" s="33"/>
      <x:c r="D95" s="33"/>
      <x:c r="E95" s="33"/>
      <x:c r="F95" s="41"/>
      <x:c r="G95" s="41"/>
      <x:c r="H95" s="40"/>
      <x:c r="I95" s="33"/>
      <x:c r="J95" s="33"/>
      <x:c r="K95" s="33"/>
    </x:row>
    <x:row r="96">
      <x:c r="A96" s="33"/>
      <x:c r="B96" s="33"/>
      <x:c r="C96" s="33"/>
      <x:c r="D96" s="33"/>
      <x:c r="E96" s="33"/>
      <x:c r="F96" s="41"/>
      <x:c r="G96" s="41"/>
      <x:c r="H96" s="40"/>
      <x:c r="I96" s="33"/>
      <x:c r="J96" s="33"/>
      <x:c r="K96" s="33"/>
    </x:row>
    <x:row r="97">
      <x:c r="A97" s="33"/>
      <x:c r="B97" s="33"/>
      <x:c r="C97" s="33"/>
      <x:c r="D97" s="33"/>
      <x:c r="E97" s="33"/>
      <x:c r="F97" s="41"/>
      <x:c r="G97" s="41"/>
      <x:c r="H97" s="40"/>
      <x:c r="I97" s="33"/>
      <x:c r="J97" s="33"/>
      <x:c r="K97" s="33"/>
    </x:row>
    <x:row r="98">
      <x:c r="A98" s="33"/>
      <x:c r="B98" s="33"/>
      <x:c r="C98" s="33"/>
      <x:c r="D98" s="33"/>
      <x:c r="E98" s="33"/>
      <x:c r="F98" s="41"/>
      <x:c r="G98" s="41"/>
      <x:c r="H98" s="40"/>
      <x:c r="I98" s="33"/>
      <x:c r="J98" s="33"/>
      <x:c r="K98" s="33"/>
    </x:row>
    <x:row r="99">
      <x:c r="A99" s="33"/>
      <x:c r="B99" s="33"/>
      <x:c r="C99" s="33"/>
      <x:c r="D99" s="33"/>
      <x:c r="E99" s="33"/>
      <x:c r="F99" s="41"/>
      <x:c r="G99" s="41"/>
      <x:c r="H99" s="40"/>
      <x:c r="I99" s="33"/>
      <x:c r="J99" s="33"/>
      <x:c r="K99" s="33"/>
    </x:row>
    <x:row r="100">
      <x:c r="A100" s="33"/>
      <x:c r="B100" s="33"/>
      <x:c r="C100" s="33"/>
      <x:c r="D100" s="33"/>
      <x:c r="E100" s="33"/>
      <x:c r="F100" s="41"/>
      <x:c r="G100" s="41"/>
      <x:c r="H100" s="40"/>
      <x:c r="I100" s="33"/>
      <x:c r="J100" s="33"/>
      <x:c r="K100" s="33"/>
    </x:row>
    <x:row r="101">
      <x:c r="A101" s="33"/>
      <x:c r="B101" s="33"/>
      <x:c r="C101" s="33"/>
      <x:c r="D101" s="33"/>
      <x:c r="E101" s="33"/>
      <x:c r="F101" s="41"/>
      <x:c r="G101" s="41"/>
      <x:c r="H101" s="40"/>
      <x:c r="I101" s="33"/>
      <x:c r="J101" s="33"/>
      <x:c r="K101" s="33"/>
    </x:row>
    <x:row r="102">
      <x:c r="A102" s="33"/>
      <x:c r="B102" s="33"/>
      <x:c r="C102" s="33"/>
      <x:c r="D102" s="33"/>
      <x:c r="E102" s="33"/>
      <x:c r="F102" s="41"/>
      <x:c r="G102" s="41"/>
      <x:c r="H102" s="40"/>
      <x:c r="I102" s="33"/>
      <x:c r="J102" s="33"/>
      <x:c r="K102" s="33"/>
    </x:row>
    <x:row r="103">
      <x:c r="A103" s="33"/>
      <x:c r="B103" s="33"/>
      <x:c r="C103" s="33"/>
      <x:c r="D103" s="33"/>
      <x:c r="E103" s="33"/>
      <x:c r="F103" s="41"/>
      <x:c r="G103" s="41"/>
      <x:c r="H103" s="40"/>
      <x:c r="I103" s="33"/>
      <x:c r="J103" s="33"/>
      <x:c r="K103" s="33"/>
    </x:row>
    <x:row r="104">
      <x:c r="A104" s="33"/>
      <x:c r="B104" s="33"/>
      <x:c r="C104" s="33"/>
      <x:c r="D104" s="33"/>
      <x:c r="E104" s="33"/>
      <x:c r="F104" s="41"/>
      <x:c r="G104" s="41"/>
      <x:c r="H104" s="40"/>
      <x:c r="I104" s="33"/>
      <x:c r="J104" s="33"/>
      <x:c r="K104" s="33"/>
    </x:row>
  </x:sheetData>
  <x:mergeCells>
    <x:mergeCell ref="A1:K1"/>
    <x:mergeCell ref="A2:K2"/>
  </x:mergeCells>
  <x:pageMargins left="0.7" right="0.7" top="0.75" bottom="0.75" header="0.3" footer="0.3"/>
</x:worksheet>
</file>