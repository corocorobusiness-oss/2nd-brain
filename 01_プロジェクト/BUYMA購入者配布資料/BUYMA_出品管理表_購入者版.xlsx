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88a6b7cbe4d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出品管理" sheetId="1" r:id="R6f79f80331094c02"/>
    <x:sheet xmlns:r="http://schemas.openxmlformats.org/officeDocument/2006/relationships" name="設定" sheetId="2" r:id="R9b72bbc1756645a4"/>
    <x:sheet xmlns:r="http://schemas.openxmlformats.org/officeDocument/2006/relationships" name="使い方" sheetId="3" r:id="R606b9248c51d42b0"/>
    <x:sheet xmlns:r="http://schemas.openxmlformats.org/officeDocument/2006/relationships" name="関税・分類確認" sheetId="4" r:id="Rc006016363b641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%"/>
    <x:numFmt numFmtId="203" formatCode="yyyy-mm-dd hh:mm"/>
    <x:numFmt numFmtId="204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4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4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4" fontId="12" fillId="2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850bf7448b4dbc" /><Relationship Type="http://schemas.openxmlformats.org/officeDocument/2006/relationships/theme" Target="/xl/theme/theme1.xml" Id="Rdb0dc47b76e745de" /><Relationship Type="http://schemas.openxmlformats.org/officeDocument/2006/relationships/sharedStrings" Target="/xl/sharedStrings.xml" Id="R9fe05d71f351457f" /><Relationship Type="http://schemas.openxmlformats.org/officeDocument/2006/relationships/worksheet" Target="/xl/worksheets/sheet1.xml" Id="R6f79f80331094c02" /><Relationship Type="http://schemas.openxmlformats.org/officeDocument/2006/relationships/worksheet" Target="/xl/worksheets/sheet2.xml" Id="R9b72bbc1756645a4" /><Relationship Type="http://schemas.openxmlformats.org/officeDocument/2006/relationships/worksheet" Target="/xl/worksheets/sheet3.xml" Id="R606b9248c51d42b0" /><Relationship Type="http://schemas.openxmlformats.org/officeDocument/2006/relationships/worksheet" Target="/xl/worksheets/sheet4.xml" Id="Rc006016363b641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5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5" hidden="0" customWidth="1"/>
    <x:col min="16" max="16" width="25" hidden="0" customWidth="1"/>
    <x:col min="17" max="17" width="11" hidden="0" customWidth="1"/>
    <x:col min="18" max="18" width="15" hidden="0" customWidth="1"/>
    <x:col min="19" max="19" width="25" hidden="0" customWidth="1"/>
    <x:col min="20" max="20" width="11" hidden="0" customWidth="1"/>
    <x:col min="21" max="21" width="11" hidden="0" customWidth="1"/>
    <x:col min="22" max="22" width="11" hidden="0" customWidth="1"/>
    <x:col min="23" max="23" width="14" hidden="0" customWidth="1"/>
    <x:col min="24" max="24" width="14" hidden="0" customWidth="1"/>
    <x:col min="25" max="25" width="15" hidden="0" customWidth="1"/>
    <x:col min="26" max="26" width="11" hidden="0" customWidth="1"/>
    <x:col min="27" max="27" width="14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4" hidden="0" customWidth="1"/>
    <x:col min="34" max="34" width="11" hidden="0" customWidth="1"/>
    <x:col min="35" max="35" width="11" hidden="0" customWidth="1"/>
    <x:col min="36" max="36" width="14" hidden="0" customWidth="1"/>
    <x:col min="37" max="37" width="14" hidden="0" customWidth="1"/>
    <x:col min="38" max="38" width="14" hidden="0" customWidth="1"/>
    <x:col min="39" max="39" width="11" hidden="0" customWidth="1"/>
    <x:col min="40" max="40" width="11" hidden="0" customWidth="1"/>
    <x:col min="41" max="41" width="14" hidden="0" customWidth="1"/>
    <x:col min="42" max="42" width="14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25" hidden="0" customWidth="1"/>
    <x:col min="48" max="48" width="25" hidden="0" customWidth="1"/>
    <x:col min="49" max="49" width="25" hidden="0" customWidth="1"/>
    <x:col min="50" max="50" width="15" hidden="0" customWidth="1"/>
    <x:col min="51" max="51" width="11" hidden="0" customWidth="1"/>
    <x:col min="52" max="52" width="14" hidden="0" customWidth="1"/>
    <x:col min="53" max="53" width="11" hidden="0" customWidth="1"/>
    <x:col min="54" max="54" width="14" hidden="0" customWidth="1"/>
    <x:col min="55" max="55" width="15" hidden="0" customWidth="1"/>
    <x:col min="56" max="56" width="11" hidden="0" customWidth="1"/>
    <x:col min="57" max="57" width="15" hidden="0" customWidth="1"/>
    <x:col min="58" max="58" width="15" hidden="0" customWidth="1"/>
    <x:col min="59" max="59" width="14" hidden="0" customWidth="1"/>
  </x:cols>
  <x:sheetData>
    <x:row r="1" ht="28" customHeight="1">
      <x:c r="A1" s="88" t="str">
        <x:v>BUYMA 出品管理表 購入者版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  <x:c r="W1" s="88"/>
      <x:c r="X1" s="88"/>
      <x:c r="Y1" s="88"/>
      <x:c r="Z1" s="88"/>
      <x:c r="AA1" s="88"/>
      <x:c r="AB1" s="88"/>
      <x:c r="AC1" s="88"/>
      <x:c r="AD1" s="88"/>
      <x:c r="AE1" s="88"/>
      <x:c r="AF1" s="88"/>
      <x:c r="AG1" s="88"/>
      <x:c r="AH1" s="88"/>
      <x:c r="AI1" s="88"/>
      <x:c r="AJ1" s="88"/>
      <x:c r="AK1" s="88"/>
      <x:c r="AL1" s="88"/>
      <x:c r="AM1" s="88"/>
      <x:c r="AN1" s="88"/>
      <x:c r="AO1" s="88"/>
      <x:c r="AP1" s="88"/>
      <x:c r="AQ1" s="88"/>
      <x:c r="AR1" s="88"/>
      <x:c r="AS1" s="88"/>
      <x:c r="AT1" s="88"/>
      <x:c r="AU1" s="88"/>
      <x:c r="AV1" s="88"/>
      <x:c r="AW1" s="88"/>
      <x:c r="AX1" s="88"/>
      <x:c r="AY1" s="88"/>
      <x:c r="AZ1" s="88"/>
      <x:c r="BA1" s="88"/>
      <x:c r="BB1" s="88"/>
      <x:c r="BC1" s="88"/>
      <x:c r="BD1" s="88"/>
      <x:c r="BE1" s="88"/>
      <x:c r="BF1" s="88"/>
      <x:c r="BG1" s="88"/>
    </x:row>
    <x:row r="2" ht="25" customHeight="1">
      <x:c r="A2" s="92" t="str">
        <x:v>候補、根拠、見込費用、販売条件、実績、公開判断、情報管理を1商品1行で追跡します。水色は自動計算です。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  <x:c r="T2" s="92"/>
      <x:c r="U2" s="92"/>
      <x:c r="V2" s="92"/>
      <x:c r="W2" s="92"/>
      <x:c r="X2" s="92"/>
      <x:c r="Y2" s="92"/>
      <x:c r="Z2" s="92"/>
      <x:c r="AA2" s="92"/>
      <x:c r="AB2" s="92"/>
      <x:c r="AC2" s="92"/>
      <x:c r="AD2" s="92"/>
      <x:c r="AE2" s="92"/>
      <x:c r="AF2" s="92"/>
      <x:c r="AG2" s="92"/>
      <x:c r="AH2" s="92"/>
      <x:c r="AI2" s="92"/>
      <x:c r="AJ2" s="92"/>
      <x:c r="AK2" s="92"/>
      <x:c r="AL2" s="92"/>
      <x:c r="AM2" s="92"/>
      <x:c r="AN2" s="92"/>
      <x:c r="AO2" s="92"/>
      <x:c r="AP2" s="92"/>
      <x:c r="AQ2" s="92"/>
      <x:c r="AR2" s="92"/>
      <x:c r="AS2" s="92"/>
      <x:c r="AT2" s="92"/>
      <x:c r="AU2" s="92"/>
      <x:c r="AV2" s="92"/>
      <x:c r="AW2" s="92"/>
      <x:c r="AX2" s="92"/>
      <x:c r="AY2" s="92"/>
      <x:c r="AZ2" s="92"/>
      <x:c r="BA2" s="92"/>
      <x:c r="BB2" s="92"/>
      <x:c r="BC2" s="92"/>
      <x:c r="BD2" s="92"/>
      <x:c r="BE2" s="92"/>
      <x:c r="BF2" s="92"/>
      <x:c r="BG2" s="92"/>
    </x:row>
    <x:row r="4" ht="42" customHeight="1">
      <x:c r="A4" s="98" t="str">
        <x:v>管理番号</x:v>
      </x:c>
      <x:c r="B4" s="98" t="str">
        <x:v>状態</x:v>
      </x:c>
      <x:c r="C4" s="98" t="str">
        <x:v>担当</x:v>
      </x:c>
      <x:c r="D4" s="98" t="str">
        <x:v>作成日</x:v>
      </x:c>
      <x:c r="E4" s="98" t="str">
        <x:v>確認者</x:v>
      </x:c>
      <x:c r="F4" s="98" t="str">
        <x:v>公開者</x:v>
      </x:c>
      <x:c r="G4" s="98" t="str">
        <x:v>公開日</x:v>
      </x:c>
      <x:c r="H4" s="98" t="str">
        <x:v>ブランド</x:v>
      </x:c>
      <x:c r="I4" s="98" t="str">
        <x:v>商品名</x:v>
      </x:c>
      <x:c r="J4" s="98" t="str">
        <x:v>型番</x:v>
      </x:c>
      <x:c r="K4" s="98" t="str">
        <x:v>色</x:v>
      </x:c>
      <x:c r="L4" s="98" t="str">
        <x:v>サイズ</x:v>
      </x:c>
      <x:c r="M4" s="98" t="str">
        <x:v>素材</x:v>
      </x:c>
      <x:c r="N4" s="98" t="str">
        <x:v>付属品</x:v>
      </x:c>
      <x:c r="O4" s="98" t="str">
        <x:v>公式商品URL</x:v>
      </x:c>
      <x:c r="P4" s="98" t="str">
        <x:v>買付先URL</x:v>
      </x:c>
      <x:c r="Q4" s="98" t="str">
        <x:v>販売元</x:v>
      </x:c>
      <x:c r="R4" s="98" t="str">
        <x:v>在庫確認日時</x:v>
      </x:c>
      <x:c r="S4" s="98" t="str">
        <x:v>画像利用根拠</x:v>
      </x:c>
      <x:c r="T4" s="98" t="str">
        <x:v>商品代</x:v>
      </x:c>
      <x:c r="U4" s="98" t="str">
        <x:v>通貨</x:v>
      </x:c>
      <x:c r="V4" s="98" t="str">
        <x:v>円請求額</x:v>
      </x:c>
      <x:c r="W4" s="98" t="str">
        <x:v>円請求額の含有済み費用</x:v>
      </x:c>
      <x:c r="X4" s="98" t="str">
        <x:v>換算レート</x:v>
      </x:c>
      <x:c r="Y4" s="98" t="str">
        <x:v>換算日</x:v>
      </x:c>
      <x:c r="Z4" s="98" t="str">
        <x:v>送料</x:v>
      </x:c>
      <x:c r="AA4" s="98" t="str">
        <x:v>決済・送金</x:v>
      </x:c>
      <x:c r="AB4" s="98" t="str">
        <x:v>税・関税</x:v>
      </x:c>
      <x:c r="AC4" s="98" t="str">
        <x:v>検品</x:v>
      </x:c>
      <x:c r="AD4" s="98" t="str">
        <x:v>梱包</x:v>
      </x:c>
      <x:c r="AE4" s="98" t="str">
        <x:v>国内送料</x:v>
      </x:c>
      <x:c r="AF4" s="98" t="str">
        <x:v>委託費</x:v>
      </x:c>
      <x:c r="AG4" s="98" t="str">
        <x:v>その他費用</x:v>
      </x:c>
      <x:c r="AH4" s="98" t="str">
        <x:v>商品価格</x:v>
      </x:c>
      <x:c r="AI4" s="98" t="str">
        <x:v>配送料</x:v>
      </x:c>
      <x:c r="AJ4" s="98" t="str">
        <x:v>成約手数料等</x:v>
      </x:c>
      <x:c r="AK4" s="98" t="str">
        <x:v>売上見込額</x:v>
      </x:c>
      <x:c r="AL4" s="98" t="str">
        <x:v>見込総費用</x:v>
      </x:c>
      <x:c r="AM4" s="98" t="str">
        <x:v>見込利益</x:v>
      </x:c>
      <x:c r="AN4" s="98" t="str">
        <x:v>見込判定</x:v>
      </x:c>
      <x:c r="AO4" s="98" t="str">
        <x:v>実績売上額</x:v>
      </x:c>
      <x:c r="AP4" s="98" t="str">
        <x:v>実績総費用</x:v>
      </x:c>
      <x:c r="AQ4" s="98" t="str">
        <x:v>実績利益</x:v>
      </x:c>
      <x:c r="AR4" s="98" t="str">
        <x:v>発送地</x:v>
      </x:c>
      <x:c r="AS4" s="98" t="str">
        <x:v>関税負担</x:v>
      </x:c>
      <x:c r="AT4" s="98" t="str">
        <x:v>到着目安</x:v>
      </x:c>
      <x:c r="AU4" s="98" t="str">
        <x:v>質問</x:v>
      </x:c>
      <x:c r="AV4" s="98" t="str">
        <x:v>修正内容</x:v>
      </x:c>
      <x:c r="AW4" s="98" t="str">
        <x:v>停止理由</x:v>
      </x:c>
      <x:c r="AX4" s="98" t="str">
        <x:v>最終確認日</x:v>
      </x:c>
      <x:c r="AY4" s="98" t="str">
        <x:v>情報区分</x:v>
      </x:c>
      <x:c r="AZ4" s="98" t="str">
        <x:v>証憑保管区分</x:v>
      </x:c>
      <x:c r="BA4" s="98" t="str">
        <x:v>閲覧権限</x:v>
      </x:c>
      <x:c r="BB4" s="98" t="str">
        <x:v>マスキング確認</x:v>
      </x:c>
      <x:c r="BC4" s="98" t="str">
        <x:v>保存開始日</x:v>
      </x:c>
      <x:c r="BD4" s="98" t="str">
        <x:v>保存期限</x:v>
      </x:c>
      <x:c r="BE4" s="98" t="str">
        <x:v>削除確認日</x:v>
      </x:c>
      <x:c r="BF4" s="98" t="str">
        <x:v>最終権限確認日</x:v>
      </x:c>
      <x:c r="BG4" s="98" t="str">
        <x:v>情報管理確認者</x:v>
      </x:c>
    </x:row>
    <x:row r="5" ht="20" customHeight="1">
      <x:c r="A5" s="103"/>
      <x:c r="B5" s="103"/>
      <x:c r="C5" s="103"/>
      <x:c r="D5" s="107"/>
      <x:c r="E5" s="103"/>
      <x:c r="F5" s="103"/>
      <x:c r="G5" s="107"/>
      <x:c r="H5" s="103"/>
      <x:c r="I5" s="103"/>
      <x:c r="J5" s="103"/>
      <x:c r="K5" s="103"/>
      <x:c r="L5" s="103"/>
      <x:c r="M5" s="103"/>
      <x:c r="N5" s="103"/>
      <x:c r="O5" s="103"/>
      <x:c r="P5" s="103"/>
      <x:c r="Q5" s="103"/>
      <x:c r="R5" s="103"/>
      <x:c r="S5" s="103"/>
      <x:c r="T5" s="103"/>
      <x:c r="U5" s="103"/>
      <x:c r="V5" s="105"/>
      <x:c r="W5" s="103"/>
      <x:c r="X5" s="103"/>
      <x:c r="Y5" s="107"/>
      <x:c r="Z5" s="105"/>
      <x:c r="AA5" s="105"/>
      <x:c r="AB5" s="105"/>
      <x:c r="AC5" s="105"/>
      <x:c r="AD5" s="105"/>
      <x:c r="AE5" s="105"/>
      <x:c r="AF5" s="105"/>
      <x:c r="AG5" s="105"/>
      <x:c r="AH5" s="105"/>
      <x:c r="AI5" s="105"/>
      <x:c r="AJ5" s="106" t="str">
        <x:f>IF(OR(AK5="",'設定'!$B$4=""),"",AK5*'設定'!$B$4)</x:f>
      </x:c>
      <x:c r="AK5" s="106" t="str">
        <x:f>IF(OR(AH5="",AI5=""),"",AH5+AI5)</x:f>
      </x:c>
      <x:c r="AL5" s="106" t="str">
        <x:f>IF(OR(A5="",V5="",AK5="",AJ5=""),"",SUM(V5,Z5:AG5,AJ5))</x:f>
      </x:c>
      <x:c r="AM5" s="106" t="str">
        <x:f>IF(OR(AK5="",AL5=""),"",AK5-AL5)</x:f>
      </x:c>
      <x:c r="AN5" s="104" t="str">
        <x:f>IF(A5="","",IF(OR(V5="",Q5="",R5="",S5="",E5="",AK5="",AJ5=""),"STOP: 必須未確認",IF(AM5&lt;=0,"STOP: 利益なし","要承認")))</x:f>
      </x:c>
      <x:c r="AO5" s="105"/>
      <x:c r="AP5" s="105"/>
      <x:c r="AQ5" s="106" t="str">
        <x:f>IF(OR(A5="",AO5="",AP5=""),"",AO5-AP5)</x:f>
      </x:c>
      <x:c r="AR5" s="103"/>
      <x:c r="AS5" s="103"/>
      <x:c r="AT5" s="103"/>
      <x:c r="AU5" s="103"/>
      <x:c r="AV5" s="103"/>
      <x:c r="AW5" s="103"/>
      <x:c r="AX5" s="107"/>
      <x:c r="AY5" s="103"/>
      <x:c r="AZ5" s="103"/>
      <x:c r="BA5" s="103"/>
      <x:c r="BB5" s="103"/>
      <x:c r="BC5" s="107"/>
      <x:c r="BD5" s="107"/>
      <x:c r="BE5" s="107"/>
      <x:c r="BF5" s="107"/>
      <x:c r="BG5" s="103"/>
    </x:row>
    <x:row r="6" ht="20" customHeight="1">
      <x:c r="A6" s="103"/>
      <x:c r="B6" s="103"/>
      <x:c r="C6" s="103"/>
      <x:c r="D6" s="107"/>
      <x:c r="E6" s="103"/>
      <x:c r="F6" s="103"/>
      <x:c r="G6" s="107"/>
      <x:c r="H6" s="103"/>
      <x:c r="I6" s="103"/>
      <x:c r="J6" s="103"/>
      <x:c r="K6" s="103"/>
      <x:c r="L6" s="103"/>
      <x:c r="M6" s="103"/>
      <x:c r="N6" s="103"/>
      <x:c r="O6" s="103"/>
      <x:c r="P6" s="103"/>
      <x:c r="Q6" s="103"/>
      <x:c r="R6" s="103"/>
      <x:c r="S6" s="103"/>
      <x:c r="T6" s="103"/>
      <x:c r="U6" s="103"/>
      <x:c r="V6" s="105"/>
      <x:c r="W6" s="103"/>
      <x:c r="X6" s="103"/>
      <x:c r="Y6" s="107"/>
      <x:c r="Z6" s="105"/>
      <x:c r="AA6" s="105"/>
      <x:c r="AB6" s="105"/>
      <x:c r="AC6" s="105"/>
      <x:c r="AD6" s="105"/>
      <x:c r="AE6" s="105"/>
      <x:c r="AF6" s="105"/>
      <x:c r="AG6" s="105"/>
      <x:c r="AH6" s="105"/>
      <x:c r="AI6" s="105"/>
      <x:c r="AJ6" s="106" t="str">
        <x:f>IF(OR(AK6="",'設定'!$B$4=""),"",AK6*'設定'!$B$4)</x:f>
      </x:c>
      <x:c r="AK6" s="106" t="str">
        <x:f>IF(OR(AH6="",AI6=""),"",AH6+AI6)</x:f>
      </x:c>
      <x:c r="AL6" s="106" t="str">
        <x:f>IF(OR(A6="",V6="",AK6="",AJ6=""),"",SUM(V6,Z6:AG6,AJ6))</x:f>
      </x:c>
      <x:c r="AM6" s="106" t="str">
        <x:f>IF(OR(AK6="",AL6=""),"",AK6-AL6)</x:f>
      </x:c>
      <x:c r="AN6" s="104" t="str">
        <x:f>IF(A6="","",IF(OR(V6="",Q6="",R6="",S6="",E6="",AK6="",AJ6=""),"STOP: 必須未確認",IF(AM6&lt;=0,"STOP: 利益なし","要承認")))</x:f>
      </x:c>
      <x:c r="AO6" s="105"/>
      <x:c r="AP6" s="105"/>
      <x:c r="AQ6" s="106" t="str">
        <x:f>IF(OR(A6="",AO6="",AP6=""),"",AO6-AP6)</x:f>
      </x:c>
      <x:c r="AR6" s="103"/>
      <x:c r="AS6" s="103"/>
      <x:c r="AT6" s="103"/>
      <x:c r="AU6" s="103"/>
      <x:c r="AV6" s="103"/>
      <x:c r="AW6" s="103"/>
      <x:c r="AX6" s="107"/>
      <x:c r="AY6" s="103"/>
      <x:c r="AZ6" s="103"/>
      <x:c r="BA6" s="103"/>
      <x:c r="BB6" s="103"/>
      <x:c r="BC6" s="107"/>
      <x:c r="BD6" s="107"/>
      <x:c r="BE6" s="107"/>
      <x:c r="BF6" s="107"/>
      <x:c r="BG6" s="103"/>
    </x:row>
    <x:row r="7" ht="20" customHeight="1">
      <x:c r="A7" s="103"/>
      <x:c r="B7" s="103"/>
      <x:c r="C7" s="103"/>
      <x:c r="D7" s="107"/>
      <x:c r="E7" s="103"/>
      <x:c r="F7" s="103"/>
      <x:c r="G7" s="107"/>
      <x:c r="H7" s="103"/>
      <x:c r="I7" s="103"/>
      <x:c r="J7" s="103"/>
      <x:c r="K7" s="103"/>
      <x:c r="L7" s="103"/>
      <x:c r="M7" s="103"/>
      <x:c r="N7" s="103"/>
      <x:c r="O7" s="103"/>
      <x:c r="P7" s="103"/>
      <x:c r="Q7" s="103"/>
      <x:c r="R7" s="103"/>
      <x:c r="S7" s="103"/>
      <x:c r="T7" s="103"/>
      <x:c r="U7" s="103"/>
      <x:c r="V7" s="105"/>
      <x:c r="W7" s="103"/>
      <x:c r="X7" s="103"/>
      <x:c r="Y7" s="107"/>
      <x:c r="Z7" s="105"/>
      <x:c r="AA7" s="105"/>
      <x:c r="AB7" s="105"/>
      <x:c r="AC7" s="105"/>
      <x:c r="AD7" s="105"/>
      <x:c r="AE7" s="105"/>
      <x:c r="AF7" s="105"/>
      <x:c r="AG7" s="105"/>
      <x:c r="AH7" s="105"/>
      <x:c r="AI7" s="105"/>
      <x:c r="AJ7" s="106" t="str">
        <x:f>IF(OR(AK7="",'設定'!$B$4=""),"",AK7*'設定'!$B$4)</x:f>
      </x:c>
      <x:c r="AK7" s="106" t="str">
        <x:f>IF(OR(AH7="",AI7=""),"",AH7+AI7)</x:f>
      </x:c>
      <x:c r="AL7" s="106" t="str">
        <x:f>IF(OR(A7="",V7="",AK7="",AJ7=""),"",SUM(V7,Z7:AG7,AJ7))</x:f>
      </x:c>
      <x:c r="AM7" s="106" t="str">
        <x:f>IF(OR(AK7="",AL7=""),"",AK7-AL7)</x:f>
      </x:c>
      <x:c r="AN7" s="104" t="str">
        <x:f>IF(A7="","",IF(OR(V7="",Q7="",R7="",S7="",E7="",AK7="",AJ7=""),"STOP: 必須未確認",IF(AM7&lt;=0,"STOP: 利益なし","要承認")))</x:f>
      </x:c>
      <x:c r="AO7" s="105"/>
      <x:c r="AP7" s="105"/>
      <x:c r="AQ7" s="106" t="str">
        <x:f>IF(OR(A7="",AO7="",AP7=""),"",AO7-AP7)</x:f>
      </x:c>
      <x:c r="AR7" s="103"/>
      <x:c r="AS7" s="103"/>
      <x:c r="AT7" s="103"/>
      <x:c r="AU7" s="103"/>
      <x:c r="AV7" s="103"/>
      <x:c r="AW7" s="103"/>
      <x:c r="AX7" s="107"/>
      <x:c r="AY7" s="103"/>
      <x:c r="AZ7" s="103"/>
      <x:c r="BA7" s="103"/>
      <x:c r="BB7" s="103"/>
      <x:c r="BC7" s="107"/>
      <x:c r="BD7" s="107"/>
      <x:c r="BE7" s="107"/>
      <x:c r="BF7" s="107"/>
      <x:c r="BG7" s="103"/>
    </x:row>
    <x:row r="8" ht="20" customHeight="1">
      <x:c r="A8" s="103"/>
      <x:c r="B8" s="103"/>
      <x:c r="C8" s="103"/>
      <x:c r="D8" s="107"/>
      <x:c r="E8" s="103"/>
      <x:c r="F8" s="103"/>
      <x:c r="G8" s="107"/>
      <x:c r="H8" s="103"/>
      <x:c r="I8" s="103"/>
      <x:c r="J8" s="103"/>
      <x:c r="K8" s="103"/>
      <x:c r="L8" s="103"/>
      <x:c r="M8" s="103"/>
      <x:c r="N8" s="103"/>
      <x:c r="O8" s="103"/>
      <x:c r="P8" s="103"/>
      <x:c r="Q8" s="103"/>
      <x:c r="R8" s="103"/>
      <x:c r="S8" s="103"/>
      <x:c r="T8" s="103"/>
      <x:c r="U8" s="103"/>
      <x:c r="V8" s="105"/>
      <x:c r="W8" s="103"/>
      <x:c r="X8" s="103"/>
      <x:c r="Y8" s="107"/>
      <x:c r="Z8" s="105"/>
      <x:c r="AA8" s="105"/>
      <x:c r="AB8" s="105"/>
      <x:c r="AC8" s="105"/>
      <x:c r="AD8" s="105"/>
      <x:c r="AE8" s="105"/>
      <x:c r="AF8" s="105"/>
      <x:c r="AG8" s="105"/>
      <x:c r="AH8" s="105"/>
      <x:c r="AI8" s="105"/>
      <x:c r="AJ8" s="106" t="str">
        <x:f>IF(OR(AK8="",'設定'!$B$4=""),"",AK8*'設定'!$B$4)</x:f>
      </x:c>
      <x:c r="AK8" s="106" t="str">
        <x:f>IF(OR(AH8="",AI8=""),"",AH8+AI8)</x:f>
      </x:c>
      <x:c r="AL8" s="106" t="str">
        <x:f>IF(OR(A8="",V8="",AK8="",AJ8=""),"",SUM(V8,Z8:AG8,AJ8))</x:f>
      </x:c>
      <x:c r="AM8" s="106" t="str">
        <x:f>IF(OR(AK8="",AL8=""),"",AK8-AL8)</x:f>
      </x:c>
      <x:c r="AN8" s="104" t="str">
        <x:f>IF(A8="","",IF(OR(V8="",Q8="",R8="",S8="",E8="",AK8="",AJ8=""),"STOP: 必須未確認",IF(AM8&lt;=0,"STOP: 利益なし","要承認")))</x:f>
      </x:c>
      <x:c r="AO8" s="105"/>
      <x:c r="AP8" s="105"/>
      <x:c r="AQ8" s="106" t="str">
        <x:f>IF(OR(A8="",AO8="",AP8=""),"",AO8-AP8)</x:f>
      </x:c>
      <x:c r="AR8" s="103"/>
      <x:c r="AS8" s="103"/>
      <x:c r="AT8" s="103"/>
      <x:c r="AU8" s="103"/>
      <x:c r="AV8" s="103"/>
      <x:c r="AW8" s="103"/>
      <x:c r="AX8" s="107"/>
      <x:c r="AY8" s="103"/>
      <x:c r="AZ8" s="103"/>
      <x:c r="BA8" s="103"/>
      <x:c r="BB8" s="103"/>
      <x:c r="BC8" s="107"/>
      <x:c r="BD8" s="107"/>
      <x:c r="BE8" s="107"/>
      <x:c r="BF8" s="107"/>
      <x:c r="BG8" s="103"/>
    </x:row>
    <x:row r="9" ht="20" customHeight="1">
      <x:c r="A9" s="103"/>
      <x:c r="B9" s="103"/>
      <x:c r="C9" s="103"/>
      <x:c r="D9" s="107"/>
      <x:c r="E9" s="103"/>
      <x:c r="F9" s="103"/>
      <x:c r="G9" s="107"/>
      <x:c r="H9" s="103"/>
      <x:c r="I9" s="103"/>
      <x:c r="J9" s="103"/>
      <x:c r="K9" s="103"/>
      <x:c r="L9" s="103"/>
      <x:c r="M9" s="103"/>
      <x:c r="N9" s="103"/>
      <x:c r="O9" s="103"/>
      <x:c r="P9" s="103"/>
      <x:c r="Q9" s="103"/>
      <x:c r="R9" s="103"/>
      <x:c r="S9" s="103"/>
      <x:c r="T9" s="103"/>
      <x:c r="U9" s="103"/>
      <x:c r="V9" s="105"/>
      <x:c r="W9" s="103"/>
      <x:c r="X9" s="103"/>
      <x:c r="Y9" s="107"/>
      <x:c r="Z9" s="105"/>
      <x:c r="AA9" s="105"/>
      <x:c r="AB9" s="105"/>
      <x:c r="AC9" s="105"/>
      <x:c r="AD9" s="105"/>
      <x:c r="AE9" s="105"/>
      <x:c r="AF9" s="105"/>
      <x:c r="AG9" s="105"/>
      <x:c r="AH9" s="105"/>
      <x:c r="AI9" s="105"/>
      <x:c r="AJ9" s="106" t="str">
        <x:f>IF(OR(AK9="",'設定'!$B$4=""),"",AK9*'設定'!$B$4)</x:f>
      </x:c>
      <x:c r="AK9" s="106" t="str">
        <x:f>IF(OR(AH9="",AI9=""),"",AH9+AI9)</x:f>
      </x:c>
      <x:c r="AL9" s="106" t="str">
        <x:f>IF(OR(A9="",V9="",AK9="",AJ9=""),"",SUM(V9,Z9:AG9,AJ9))</x:f>
      </x:c>
      <x:c r="AM9" s="106" t="str">
        <x:f>IF(OR(AK9="",AL9=""),"",AK9-AL9)</x:f>
      </x:c>
      <x:c r="AN9" s="104" t="str">
        <x:f>IF(A9="","",IF(OR(V9="",Q9="",R9="",S9="",E9="",AK9="",AJ9=""),"STOP: 必須未確認",IF(AM9&lt;=0,"STOP: 利益なし","要承認")))</x:f>
      </x:c>
      <x:c r="AO9" s="105"/>
      <x:c r="AP9" s="105"/>
      <x:c r="AQ9" s="106" t="str">
        <x:f>IF(OR(A9="",AO9="",AP9=""),"",AO9-AP9)</x:f>
      </x:c>
      <x:c r="AR9" s="103"/>
      <x:c r="AS9" s="103"/>
      <x:c r="AT9" s="103"/>
      <x:c r="AU9" s="103"/>
      <x:c r="AV9" s="103"/>
      <x:c r="AW9" s="103"/>
      <x:c r="AX9" s="107"/>
      <x:c r="AY9" s="103"/>
      <x:c r="AZ9" s="103"/>
      <x:c r="BA9" s="103"/>
      <x:c r="BB9" s="103"/>
      <x:c r="BC9" s="107"/>
      <x:c r="BD9" s="107"/>
      <x:c r="BE9" s="107"/>
      <x:c r="BF9" s="107"/>
      <x:c r="BG9" s="103"/>
    </x:row>
    <x:row r="10" ht="20" customHeight="1">
      <x:c r="A10" s="103"/>
      <x:c r="B10" s="103"/>
      <x:c r="C10" s="103"/>
      <x:c r="D10" s="107"/>
      <x:c r="E10" s="103"/>
      <x:c r="F10" s="103"/>
      <x:c r="G10" s="107"/>
      <x:c r="H10" s="103"/>
      <x:c r="I10" s="103"/>
      <x:c r="J10" s="103"/>
      <x:c r="K10" s="103"/>
      <x:c r="L10" s="103"/>
      <x:c r="M10" s="103"/>
      <x:c r="N10" s="103"/>
      <x:c r="O10" s="103"/>
      <x:c r="P10" s="103"/>
      <x:c r="Q10" s="103"/>
      <x:c r="R10" s="103"/>
      <x:c r="S10" s="103"/>
      <x:c r="T10" s="103"/>
      <x:c r="U10" s="103"/>
      <x:c r="V10" s="105"/>
      <x:c r="W10" s="103"/>
      <x:c r="X10" s="103"/>
      <x:c r="Y10" s="107"/>
      <x:c r="Z10" s="105"/>
      <x:c r="AA10" s="105"/>
      <x:c r="AB10" s="105"/>
      <x:c r="AC10" s="105"/>
      <x:c r="AD10" s="105"/>
      <x:c r="AE10" s="105"/>
      <x:c r="AF10" s="105"/>
      <x:c r="AG10" s="105"/>
      <x:c r="AH10" s="105"/>
      <x:c r="AI10" s="105"/>
      <x:c r="AJ10" s="106" t="str">
        <x:f>IF(OR(AK10="",'設定'!$B$4=""),"",AK10*'設定'!$B$4)</x:f>
      </x:c>
      <x:c r="AK10" s="106" t="str">
        <x:f>IF(OR(AH10="",AI10=""),"",AH10+AI10)</x:f>
      </x:c>
      <x:c r="AL10" s="106" t="str">
        <x:f>IF(OR(A10="",V10="",AK10="",AJ10=""),"",SUM(V10,Z10:AG10,AJ10))</x:f>
      </x:c>
      <x:c r="AM10" s="106" t="str">
        <x:f>IF(OR(AK10="",AL10=""),"",AK10-AL10)</x:f>
      </x:c>
      <x:c r="AN10" s="104" t="str">
        <x:f>IF(A10="","",IF(OR(V10="",Q10="",R10="",S10="",E10="",AK10="",AJ10=""),"STOP: 必須未確認",IF(AM10&lt;=0,"STOP: 利益なし","要承認")))</x:f>
      </x:c>
      <x:c r="AO10" s="105"/>
      <x:c r="AP10" s="105"/>
      <x:c r="AQ10" s="106" t="str">
        <x:f>IF(OR(A10="",AO10="",AP10=""),"",AO10-AP10)</x:f>
      </x:c>
      <x:c r="AR10" s="103"/>
      <x:c r="AS10" s="103"/>
      <x:c r="AT10" s="103"/>
      <x:c r="AU10" s="103"/>
      <x:c r="AV10" s="103"/>
      <x:c r="AW10" s="103"/>
      <x:c r="AX10" s="107"/>
      <x:c r="AY10" s="103"/>
      <x:c r="AZ10" s="103"/>
      <x:c r="BA10" s="103"/>
      <x:c r="BB10" s="103"/>
      <x:c r="BC10" s="107"/>
      <x:c r="BD10" s="107"/>
      <x:c r="BE10" s="107"/>
      <x:c r="BF10" s="107"/>
      <x:c r="BG10" s="103"/>
    </x:row>
    <x:row r="11" ht="20" customHeight="1">
      <x:c r="A11" s="103"/>
      <x:c r="B11" s="103"/>
      <x:c r="C11" s="103"/>
      <x:c r="D11" s="107"/>
      <x:c r="E11" s="103"/>
      <x:c r="F11" s="103"/>
      <x:c r="G11" s="107"/>
      <x:c r="H11" s="103"/>
      <x:c r="I11" s="103"/>
      <x:c r="J11" s="103"/>
      <x:c r="K11" s="103"/>
      <x:c r="L11" s="103"/>
      <x:c r="M11" s="103"/>
      <x:c r="N11" s="103"/>
      <x:c r="O11" s="103"/>
      <x:c r="P11" s="103"/>
      <x:c r="Q11" s="103"/>
      <x:c r="R11" s="103"/>
      <x:c r="S11" s="103"/>
      <x:c r="T11" s="103"/>
      <x:c r="U11" s="103"/>
      <x:c r="V11" s="105"/>
      <x:c r="W11" s="103"/>
      <x:c r="X11" s="103"/>
      <x:c r="Y11" s="107"/>
      <x:c r="Z11" s="105"/>
      <x:c r="AA11" s="105"/>
      <x:c r="AB11" s="105"/>
      <x:c r="AC11" s="105"/>
      <x:c r="AD11" s="105"/>
      <x:c r="AE11" s="105"/>
      <x:c r="AF11" s="105"/>
      <x:c r="AG11" s="105"/>
      <x:c r="AH11" s="105"/>
      <x:c r="AI11" s="105"/>
      <x:c r="AJ11" s="106" t="str">
        <x:f>IF(OR(AK11="",'設定'!$B$4=""),"",AK11*'設定'!$B$4)</x:f>
      </x:c>
      <x:c r="AK11" s="106" t="str">
        <x:f>IF(OR(AH11="",AI11=""),"",AH11+AI11)</x:f>
      </x:c>
      <x:c r="AL11" s="106" t="str">
        <x:f>IF(OR(A11="",V11="",AK11="",AJ11=""),"",SUM(V11,Z11:AG11,AJ11))</x:f>
      </x:c>
      <x:c r="AM11" s="106" t="str">
        <x:f>IF(OR(AK11="",AL11=""),"",AK11-AL11)</x:f>
      </x:c>
      <x:c r="AN11" s="104" t="str">
        <x:f>IF(A11="","",IF(OR(V11="",Q11="",R11="",S11="",E11="",AK11="",AJ11=""),"STOP: 必須未確認",IF(AM11&lt;=0,"STOP: 利益なし","要承認")))</x:f>
      </x:c>
      <x:c r="AO11" s="105"/>
      <x:c r="AP11" s="105"/>
      <x:c r="AQ11" s="106" t="str">
        <x:f>IF(OR(A11="",AO11="",AP11=""),"",AO11-AP11)</x:f>
      </x:c>
      <x:c r="AR11" s="103"/>
      <x:c r="AS11" s="103"/>
      <x:c r="AT11" s="103"/>
      <x:c r="AU11" s="103"/>
      <x:c r="AV11" s="103"/>
      <x:c r="AW11" s="103"/>
      <x:c r="AX11" s="107"/>
      <x:c r="AY11" s="103"/>
      <x:c r="AZ11" s="103"/>
      <x:c r="BA11" s="103"/>
      <x:c r="BB11" s="103"/>
      <x:c r="BC11" s="107"/>
      <x:c r="BD11" s="107"/>
      <x:c r="BE11" s="107"/>
      <x:c r="BF11" s="107"/>
      <x:c r="BG11" s="103"/>
    </x:row>
    <x:row r="12" ht="20" customHeight="1">
      <x:c r="A12" s="103"/>
      <x:c r="B12" s="103"/>
      <x:c r="C12" s="103"/>
      <x:c r="D12" s="107"/>
      <x:c r="E12" s="103"/>
      <x:c r="F12" s="103"/>
      <x:c r="G12" s="107"/>
      <x:c r="H12" s="103"/>
      <x:c r="I12" s="103"/>
      <x:c r="J12" s="103"/>
      <x:c r="K12" s="103"/>
      <x:c r="L12" s="103"/>
      <x:c r="M12" s="103"/>
      <x:c r="N12" s="103"/>
      <x:c r="O12" s="103"/>
      <x:c r="P12" s="103"/>
      <x:c r="Q12" s="103"/>
      <x:c r="R12" s="103"/>
      <x:c r="S12" s="103"/>
      <x:c r="T12" s="103"/>
      <x:c r="U12" s="103"/>
      <x:c r="V12" s="105"/>
      <x:c r="W12" s="103"/>
      <x:c r="X12" s="103"/>
      <x:c r="Y12" s="107"/>
      <x:c r="Z12" s="105"/>
      <x:c r="AA12" s="105"/>
      <x:c r="AB12" s="105"/>
      <x:c r="AC12" s="105"/>
      <x:c r="AD12" s="105"/>
      <x:c r="AE12" s="105"/>
      <x:c r="AF12" s="105"/>
      <x:c r="AG12" s="105"/>
      <x:c r="AH12" s="105"/>
      <x:c r="AI12" s="105"/>
      <x:c r="AJ12" s="106" t="str">
        <x:f>IF(OR(AK12="",'設定'!$B$4=""),"",AK12*'設定'!$B$4)</x:f>
      </x:c>
      <x:c r="AK12" s="106" t="str">
        <x:f>IF(OR(AH12="",AI12=""),"",AH12+AI12)</x:f>
      </x:c>
      <x:c r="AL12" s="106" t="str">
        <x:f>IF(OR(A12="",V12="",AK12="",AJ12=""),"",SUM(V12,Z12:AG12,AJ12))</x:f>
      </x:c>
      <x:c r="AM12" s="106" t="str">
        <x:f>IF(OR(AK12="",AL12=""),"",AK12-AL12)</x:f>
      </x:c>
      <x:c r="AN12" s="104" t="str">
        <x:f>IF(A12="","",IF(OR(V12="",Q12="",R12="",S12="",E12="",AK12="",AJ12=""),"STOP: 必須未確認",IF(AM12&lt;=0,"STOP: 利益なし","要承認")))</x:f>
      </x:c>
      <x:c r="AO12" s="105"/>
      <x:c r="AP12" s="105"/>
      <x:c r="AQ12" s="106" t="str">
        <x:f>IF(OR(A12="",AO12="",AP12=""),"",AO12-AP12)</x:f>
      </x:c>
      <x:c r="AR12" s="103"/>
      <x:c r="AS12" s="103"/>
      <x:c r="AT12" s="103"/>
      <x:c r="AU12" s="103"/>
      <x:c r="AV12" s="103"/>
      <x:c r="AW12" s="103"/>
      <x:c r="AX12" s="107"/>
      <x:c r="AY12" s="103"/>
      <x:c r="AZ12" s="103"/>
      <x:c r="BA12" s="103"/>
      <x:c r="BB12" s="103"/>
      <x:c r="BC12" s="107"/>
      <x:c r="BD12" s="107"/>
      <x:c r="BE12" s="107"/>
      <x:c r="BF12" s="107"/>
      <x:c r="BG12" s="103"/>
    </x:row>
    <x:row r="13" ht="20" customHeight="1">
      <x:c r="A13" s="103"/>
      <x:c r="B13" s="103"/>
      <x:c r="C13" s="103"/>
      <x:c r="D13" s="107"/>
      <x:c r="E13" s="103"/>
      <x:c r="F13" s="103"/>
      <x:c r="G13" s="107"/>
      <x:c r="H13" s="103"/>
      <x:c r="I13" s="103"/>
      <x:c r="J13" s="103"/>
      <x:c r="K13" s="103"/>
      <x:c r="L13" s="103"/>
      <x:c r="M13" s="103"/>
      <x:c r="N13" s="103"/>
      <x:c r="O13" s="103"/>
      <x:c r="P13" s="103"/>
      <x:c r="Q13" s="103"/>
      <x:c r="R13" s="103"/>
      <x:c r="S13" s="103"/>
      <x:c r="T13" s="103"/>
      <x:c r="U13" s="103"/>
      <x:c r="V13" s="105"/>
      <x:c r="W13" s="103"/>
      <x:c r="X13" s="103"/>
      <x:c r="Y13" s="107"/>
      <x:c r="Z13" s="105"/>
      <x:c r="AA13" s="105"/>
      <x:c r="AB13" s="105"/>
      <x:c r="AC13" s="105"/>
      <x:c r="AD13" s="105"/>
      <x:c r="AE13" s="105"/>
      <x:c r="AF13" s="105"/>
      <x:c r="AG13" s="105"/>
      <x:c r="AH13" s="105"/>
      <x:c r="AI13" s="105"/>
      <x:c r="AJ13" s="106" t="str">
        <x:f>IF(OR(AK13="",'設定'!$B$4=""),"",AK13*'設定'!$B$4)</x:f>
      </x:c>
      <x:c r="AK13" s="106" t="str">
        <x:f>IF(OR(AH13="",AI13=""),"",AH13+AI13)</x:f>
      </x:c>
      <x:c r="AL13" s="106" t="str">
        <x:f>IF(OR(A13="",V13="",AK13="",AJ13=""),"",SUM(V13,Z13:AG13,AJ13))</x:f>
      </x:c>
      <x:c r="AM13" s="106" t="str">
        <x:f>IF(OR(AK13="",AL13=""),"",AK13-AL13)</x:f>
      </x:c>
      <x:c r="AN13" s="104" t="str">
        <x:f>IF(A13="","",IF(OR(V13="",Q13="",R13="",S13="",E13="",AK13="",AJ13=""),"STOP: 必須未確認",IF(AM13&lt;=0,"STOP: 利益なし","要承認")))</x:f>
      </x:c>
      <x:c r="AO13" s="105"/>
      <x:c r="AP13" s="105"/>
      <x:c r="AQ13" s="106" t="str">
        <x:f>IF(OR(A13="",AO13="",AP13=""),"",AO13-AP13)</x:f>
      </x:c>
      <x:c r="AR13" s="103"/>
      <x:c r="AS13" s="103"/>
      <x:c r="AT13" s="103"/>
      <x:c r="AU13" s="103"/>
      <x:c r="AV13" s="103"/>
      <x:c r="AW13" s="103"/>
      <x:c r="AX13" s="107"/>
      <x:c r="AY13" s="103"/>
      <x:c r="AZ13" s="103"/>
      <x:c r="BA13" s="103"/>
      <x:c r="BB13" s="103"/>
      <x:c r="BC13" s="107"/>
      <x:c r="BD13" s="107"/>
      <x:c r="BE13" s="107"/>
      <x:c r="BF13" s="107"/>
      <x:c r="BG13" s="103"/>
    </x:row>
    <x:row r="14" ht="20" customHeight="1">
      <x:c r="A14" s="103"/>
      <x:c r="B14" s="103"/>
      <x:c r="C14" s="103"/>
      <x:c r="D14" s="107"/>
      <x:c r="E14" s="103"/>
      <x:c r="F14" s="103"/>
      <x:c r="G14" s="107"/>
      <x:c r="H14" s="103"/>
      <x:c r="I14" s="103"/>
      <x:c r="J14" s="103"/>
      <x:c r="K14" s="103"/>
      <x:c r="L14" s="103"/>
      <x:c r="M14" s="103"/>
      <x:c r="N14" s="103"/>
      <x:c r="O14" s="103"/>
      <x:c r="P14" s="103"/>
      <x:c r="Q14" s="103"/>
      <x:c r="R14" s="103"/>
      <x:c r="S14" s="103"/>
      <x:c r="T14" s="103"/>
      <x:c r="U14" s="103"/>
      <x:c r="V14" s="105"/>
      <x:c r="W14" s="103"/>
      <x:c r="X14" s="103"/>
      <x:c r="Y14" s="107"/>
      <x:c r="Z14" s="105"/>
      <x:c r="AA14" s="105"/>
      <x:c r="AB14" s="105"/>
      <x:c r="AC14" s="105"/>
      <x:c r="AD14" s="105"/>
      <x:c r="AE14" s="105"/>
      <x:c r="AF14" s="105"/>
      <x:c r="AG14" s="105"/>
      <x:c r="AH14" s="105"/>
      <x:c r="AI14" s="105"/>
      <x:c r="AJ14" s="106" t="str">
        <x:f>IF(OR(AK14="",'設定'!$B$4=""),"",AK14*'設定'!$B$4)</x:f>
      </x:c>
      <x:c r="AK14" s="106" t="str">
        <x:f>IF(OR(AH14="",AI14=""),"",AH14+AI14)</x:f>
      </x:c>
      <x:c r="AL14" s="106" t="str">
        <x:f>IF(OR(A14="",V14="",AK14="",AJ14=""),"",SUM(V14,Z14:AG14,AJ14))</x:f>
      </x:c>
      <x:c r="AM14" s="106" t="str">
        <x:f>IF(OR(AK14="",AL14=""),"",AK14-AL14)</x:f>
      </x:c>
      <x:c r="AN14" s="104" t="str">
        <x:f>IF(A14="","",IF(OR(V14="",Q14="",R14="",S14="",E14="",AK14="",AJ14=""),"STOP: 必須未確認",IF(AM14&lt;=0,"STOP: 利益なし","要承認")))</x:f>
      </x:c>
      <x:c r="AO14" s="105"/>
      <x:c r="AP14" s="105"/>
      <x:c r="AQ14" s="106" t="str">
        <x:f>IF(OR(A14="",AO14="",AP14=""),"",AO14-AP14)</x:f>
      </x:c>
      <x:c r="AR14" s="103"/>
      <x:c r="AS14" s="103"/>
      <x:c r="AT14" s="103"/>
      <x:c r="AU14" s="103"/>
      <x:c r="AV14" s="103"/>
      <x:c r="AW14" s="103"/>
      <x:c r="AX14" s="107"/>
      <x:c r="AY14" s="103"/>
      <x:c r="AZ14" s="103"/>
      <x:c r="BA14" s="103"/>
      <x:c r="BB14" s="103"/>
      <x:c r="BC14" s="107"/>
      <x:c r="BD14" s="107"/>
      <x:c r="BE14" s="107"/>
      <x:c r="BF14" s="107"/>
      <x:c r="BG14" s="103"/>
    </x:row>
    <x:row r="15" ht="20" customHeight="1">
      <x:c r="A15" s="103"/>
      <x:c r="B15" s="103"/>
      <x:c r="C15" s="103"/>
      <x:c r="D15" s="107"/>
      <x:c r="E15" s="103"/>
      <x:c r="F15" s="103"/>
      <x:c r="G15" s="107"/>
      <x:c r="H15" s="103"/>
      <x:c r="I15" s="103"/>
      <x:c r="J15" s="103"/>
      <x:c r="K15" s="103"/>
      <x:c r="L15" s="103"/>
      <x:c r="M15" s="103"/>
      <x:c r="N15" s="103"/>
      <x:c r="O15" s="103"/>
      <x:c r="P15" s="103"/>
      <x:c r="Q15" s="103"/>
      <x:c r="R15" s="103"/>
      <x:c r="S15" s="103"/>
      <x:c r="T15" s="103"/>
      <x:c r="U15" s="103"/>
      <x:c r="V15" s="105"/>
      <x:c r="W15" s="103"/>
      <x:c r="X15" s="103"/>
      <x:c r="Y15" s="107"/>
      <x:c r="Z15" s="105"/>
      <x:c r="AA15" s="105"/>
      <x:c r="AB15" s="105"/>
      <x:c r="AC15" s="105"/>
      <x:c r="AD15" s="105"/>
      <x:c r="AE15" s="105"/>
      <x:c r="AF15" s="105"/>
      <x:c r="AG15" s="105"/>
      <x:c r="AH15" s="105"/>
      <x:c r="AI15" s="105"/>
      <x:c r="AJ15" s="106" t="str">
        <x:f>IF(OR(AK15="",'設定'!$B$4=""),"",AK15*'設定'!$B$4)</x:f>
      </x:c>
      <x:c r="AK15" s="106" t="str">
        <x:f>IF(OR(AH15="",AI15=""),"",AH15+AI15)</x:f>
      </x:c>
      <x:c r="AL15" s="106" t="str">
        <x:f>IF(OR(A15="",V15="",AK15="",AJ15=""),"",SUM(V15,Z15:AG15,AJ15))</x:f>
      </x:c>
      <x:c r="AM15" s="106" t="str">
        <x:f>IF(OR(AK15="",AL15=""),"",AK15-AL15)</x:f>
      </x:c>
      <x:c r="AN15" s="104" t="str">
        <x:f>IF(A15="","",IF(OR(V15="",Q15="",R15="",S15="",E15="",AK15="",AJ15=""),"STOP: 必須未確認",IF(AM15&lt;=0,"STOP: 利益なし","要承認")))</x:f>
      </x:c>
      <x:c r="AO15" s="105"/>
      <x:c r="AP15" s="105"/>
      <x:c r="AQ15" s="106" t="str">
        <x:f>IF(OR(A15="",AO15="",AP15=""),"",AO15-AP15)</x:f>
      </x:c>
      <x:c r="AR15" s="103"/>
      <x:c r="AS15" s="103"/>
      <x:c r="AT15" s="103"/>
      <x:c r="AU15" s="103"/>
      <x:c r="AV15" s="103"/>
      <x:c r="AW15" s="103"/>
      <x:c r="AX15" s="107"/>
      <x:c r="AY15" s="103"/>
      <x:c r="AZ15" s="103"/>
      <x:c r="BA15" s="103"/>
      <x:c r="BB15" s="103"/>
      <x:c r="BC15" s="107"/>
      <x:c r="BD15" s="107"/>
      <x:c r="BE15" s="107"/>
      <x:c r="BF15" s="107"/>
      <x:c r="BG15" s="103"/>
    </x:row>
    <x:row r="16" ht="20" customHeight="1">
      <x:c r="A16" s="103"/>
      <x:c r="B16" s="103"/>
      <x:c r="C16" s="103"/>
      <x:c r="D16" s="107"/>
      <x:c r="E16" s="103"/>
      <x:c r="F16" s="103"/>
      <x:c r="G16" s="107"/>
      <x:c r="H16" s="103"/>
      <x:c r="I16" s="103"/>
      <x:c r="J16" s="103"/>
      <x:c r="K16" s="103"/>
      <x:c r="L16" s="103"/>
      <x:c r="M16" s="103"/>
      <x:c r="N16" s="103"/>
      <x:c r="O16" s="103"/>
      <x:c r="P16" s="103"/>
      <x:c r="Q16" s="103"/>
      <x:c r="R16" s="103"/>
      <x:c r="S16" s="103"/>
      <x:c r="T16" s="103"/>
      <x:c r="U16" s="103"/>
      <x:c r="V16" s="105"/>
      <x:c r="W16" s="103"/>
      <x:c r="X16" s="103"/>
      <x:c r="Y16" s="107"/>
      <x:c r="Z16" s="105"/>
      <x:c r="AA16" s="105"/>
      <x:c r="AB16" s="105"/>
      <x:c r="AC16" s="105"/>
      <x:c r="AD16" s="105"/>
      <x:c r="AE16" s="105"/>
      <x:c r="AF16" s="105"/>
      <x:c r="AG16" s="105"/>
      <x:c r="AH16" s="105"/>
      <x:c r="AI16" s="105"/>
      <x:c r="AJ16" s="106" t="str">
        <x:f>IF(OR(AK16="",'設定'!$B$4=""),"",AK16*'設定'!$B$4)</x:f>
      </x:c>
      <x:c r="AK16" s="106" t="str">
        <x:f>IF(OR(AH16="",AI16=""),"",AH16+AI16)</x:f>
      </x:c>
      <x:c r="AL16" s="106" t="str">
        <x:f>IF(OR(A16="",V16="",AK16="",AJ16=""),"",SUM(V16,Z16:AG16,AJ16))</x:f>
      </x:c>
      <x:c r="AM16" s="106" t="str">
        <x:f>IF(OR(AK16="",AL16=""),"",AK16-AL16)</x:f>
      </x:c>
      <x:c r="AN16" s="104" t="str">
        <x:f>IF(A16="","",IF(OR(V16="",Q16="",R16="",S16="",E16="",AK16="",AJ16=""),"STOP: 必須未確認",IF(AM16&lt;=0,"STOP: 利益なし","要承認")))</x:f>
      </x:c>
      <x:c r="AO16" s="105"/>
      <x:c r="AP16" s="105"/>
      <x:c r="AQ16" s="106" t="str">
        <x:f>IF(OR(A16="",AO16="",AP16=""),"",AO16-AP16)</x:f>
      </x:c>
      <x:c r="AR16" s="103"/>
      <x:c r="AS16" s="103"/>
      <x:c r="AT16" s="103"/>
      <x:c r="AU16" s="103"/>
      <x:c r="AV16" s="103"/>
      <x:c r="AW16" s="103"/>
      <x:c r="AX16" s="107"/>
      <x:c r="AY16" s="103"/>
      <x:c r="AZ16" s="103"/>
      <x:c r="BA16" s="103"/>
      <x:c r="BB16" s="103"/>
      <x:c r="BC16" s="107"/>
      <x:c r="BD16" s="107"/>
      <x:c r="BE16" s="107"/>
      <x:c r="BF16" s="107"/>
      <x:c r="BG16" s="103"/>
    </x:row>
    <x:row r="17" ht="20" customHeight="1">
      <x:c r="A17" s="103"/>
      <x:c r="B17" s="103"/>
      <x:c r="C17" s="103"/>
      <x:c r="D17" s="107"/>
      <x:c r="E17" s="103"/>
      <x:c r="F17" s="103"/>
      <x:c r="G17" s="107"/>
      <x:c r="H17" s="103"/>
      <x:c r="I17" s="103"/>
      <x:c r="J17" s="103"/>
      <x:c r="K17" s="103"/>
      <x:c r="L17" s="103"/>
      <x:c r="M17" s="103"/>
      <x:c r="N17" s="103"/>
      <x:c r="O17" s="103"/>
      <x:c r="P17" s="103"/>
      <x:c r="Q17" s="103"/>
      <x:c r="R17" s="103"/>
      <x:c r="S17" s="103"/>
      <x:c r="T17" s="103"/>
      <x:c r="U17" s="103"/>
      <x:c r="V17" s="105"/>
      <x:c r="W17" s="103"/>
      <x:c r="X17" s="103"/>
      <x:c r="Y17" s="107"/>
      <x:c r="Z17" s="105"/>
      <x:c r="AA17" s="105"/>
      <x:c r="AB17" s="105"/>
      <x:c r="AC17" s="105"/>
      <x:c r="AD17" s="105"/>
      <x:c r="AE17" s="105"/>
      <x:c r="AF17" s="105"/>
      <x:c r="AG17" s="105"/>
      <x:c r="AH17" s="105"/>
      <x:c r="AI17" s="105"/>
      <x:c r="AJ17" s="106" t="str">
        <x:f>IF(OR(AK17="",'設定'!$B$4=""),"",AK17*'設定'!$B$4)</x:f>
      </x:c>
      <x:c r="AK17" s="106" t="str">
        <x:f>IF(OR(AH17="",AI17=""),"",AH17+AI17)</x:f>
      </x:c>
      <x:c r="AL17" s="106" t="str">
        <x:f>IF(OR(A17="",V17="",AK17="",AJ17=""),"",SUM(V17,Z17:AG17,AJ17))</x:f>
      </x:c>
      <x:c r="AM17" s="106" t="str">
        <x:f>IF(OR(AK17="",AL17=""),"",AK17-AL17)</x:f>
      </x:c>
      <x:c r="AN17" s="104" t="str">
        <x:f>IF(A17="","",IF(OR(V17="",Q17="",R17="",S17="",E17="",AK17="",AJ17=""),"STOP: 必須未確認",IF(AM17&lt;=0,"STOP: 利益なし","要承認")))</x:f>
      </x:c>
      <x:c r="AO17" s="105"/>
      <x:c r="AP17" s="105"/>
      <x:c r="AQ17" s="106" t="str">
        <x:f>IF(OR(A17="",AO17="",AP17=""),"",AO17-AP17)</x:f>
      </x:c>
      <x:c r="AR17" s="103"/>
      <x:c r="AS17" s="103"/>
      <x:c r="AT17" s="103"/>
      <x:c r="AU17" s="103"/>
      <x:c r="AV17" s="103"/>
      <x:c r="AW17" s="103"/>
      <x:c r="AX17" s="107"/>
      <x:c r="AY17" s="103"/>
      <x:c r="AZ17" s="103"/>
      <x:c r="BA17" s="103"/>
      <x:c r="BB17" s="103"/>
      <x:c r="BC17" s="107"/>
      <x:c r="BD17" s="107"/>
      <x:c r="BE17" s="107"/>
      <x:c r="BF17" s="107"/>
      <x:c r="BG17" s="103"/>
    </x:row>
    <x:row r="18" ht="20" customHeight="1">
      <x:c r="A18" s="103"/>
      <x:c r="B18" s="103"/>
      <x:c r="C18" s="103"/>
      <x:c r="D18" s="107"/>
      <x:c r="E18" s="103"/>
      <x:c r="F18" s="103"/>
      <x:c r="G18" s="107"/>
      <x:c r="H18" s="103"/>
      <x:c r="I18" s="103"/>
      <x:c r="J18" s="103"/>
      <x:c r="K18" s="103"/>
      <x:c r="L18" s="103"/>
      <x:c r="M18" s="103"/>
      <x:c r="N18" s="103"/>
      <x:c r="O18" s="103"/>
      <x:c r="P18" s="103"/>
      <x:c r="Q18" s="103"/>
      <x:c r="R18" s="103"/>
      <x:c r="S18" s="103"/>
      <x:c r="T18" s="103"/>
      <x:c r="U18" s="103"/>
      <x:c r="V18" s="105"/>
      <x:c r="W18" s="103"/>
      <x:c r="X18" s="103"/>
      <x:c r="Y18" s="107"/>
      <x:c r="Z18" s="105"/>
      <x:c r="AA18" s="105"/>
      <x:c r="AB18" s="105"/>
      <x:c r="AC18" s="105"/>
      <x:c r="AD18" s="105"/>
      <x:c r="AE18" s="105"/>
      <x:c r="AF18" s="105"/>
      <x:c r="AG18" s="105"/>
      <x:c r="AH18" s="105"/>
      <x:c r="AI18" s="105"/>
      <x:c r="AJ18" s="106" t="str">
        <x:f>IF(OR(AK18="",'設定'!$B$4=""),"",AK18*'設定'!$B$4)</x:f>
      </x:c>
      <x:c r="AK18" s="106" t="str">
        <x:f>IF(OR(AH18="",AI18=""),"",AH18+AI18)</x:f>
      </x:c>
      <x:c r="AL18" s="106" t="str">
        <x:f>IF(OR(A18="",V18="",AK18="",AJ18=""),"",SUM(V18,Z18:AG18,AJ18))</x:f>
      </x:c>
      <x:c r="AM18" s="106" t="str">
        <x:f>IF(OR(AK18="",AL18=""),"",AK18-AL18)</x:f>
      </x:c>
      <x:c r="AN18" s="104" t="str">
        <x:f>IF(A18="","",IF(OR(V18="",Q18="",R18="",S18="",E18="",AK18="",AJ18=""),"STOP: 必須未確認",IF(AM18&lt;=0,"STOP: 利益なし","要承認")))</x:f>
      </x:c>
      <x:c r="AO18" s="105"/>
      <x:c r="AP18" s="105"/>
      <x:c r="AQ18" s="106" t="str">
        <x:f>IF(OR(A18="",AO18="",AP18=""),"",AO18-AP18)</x:f>
      </x:c>
      <x:c r="AR18" s="103"/>
      <x:c r="AS18" s="103"/>
      <x:c r="AT18" s="103"/>
      <x:c r="AU18" s="103"/>
      <x:c r="AV18" s="103"/>
      <x:c r="AW18" s="103"/>
      <x:c r="AX18" s="107"/>
      <x:c r="AY18" s="103"/>
      <x:c r="AZ18" s="103"/>
      <x:c r="BA18" s="103"/>
      <x:c r="BB18" s="103"/>
      <x:c r="BC18" s="107"/>
      <x:c r="BD18" s="107"/>
      <x:c r="BE18" s="107"/>
      <x:c r="BF18" s="107"/>
      <x:c r="BG18" s="103"/>
    </x:row>
    <x:row r="19" ht="20" customHeight="1">
      <x:c r="A19" s="103"/>
      <x:c r="B19" s="103"/>
      <x:c r="C19" s="103"/>
      <x:c r="D19" s="107"/>
      <x:c r="E19" s="103"/>
      <x:c r="F19" s="103"/>
      <x:c r="G19" s="107"/>
      <x:c r="H19" s="103"/>
      <x:c r="I19" s="103"/>
      <x:c r="J19" s="103"/>
      <x:c r="K19" s="103"/>
      <x:c r="L19" s="103"/>
      <x:c r="M19" s="103"/>
      <x:c r="N19" s="103"/>
      <x:c r="O19" s="103"/>
      <x:c r="P19" s="103"/>
      <x:c r="Q19" s="103"/>
      <x:c r="R19" s="103"/>
      <x:c r="S19" s="103"/>
      <x:c r="T19" s="103"/>
      <x:c r="U19" s="103"/>
      <x:c r="V19" s="105"/>
      <x:c r="W19" s="103"/>
      <x:c r="X19" s="103"/>
      <x:c r="Y19" s="107"/>
      <x:c r="Z19" s="105"/>
      <x:c r="AA19" s="105"/>
      <x:c r="AB19" s="105"/>
      <x:c r="AC19" s="105"/>
      <x:c r="AD19" s="105"/>
      <x:c r="AE19" s="105"/>
      <x:c r="AF19" s="105"/>
      <x:c r="AG19" s="105"/>
      <x:c r="AH19" s="105"/>
      <x:c r="AI19" s="105"/>
      <x:c r="AJ19" s="106" t="str">
        <x:f>IF(OR(AK19="",'設定'!$B$4=""),"",AK19*'設定'!$B$4)</x:f>
      </x:c>
      <x:c r="AK19" s="106" t="str">
        <x:f>IF(OR(AH19="",AI19=""),"",AH19+AI19)</x:f>
      </x:c>
      <x:c r="AL19" s="106" t="str">
        <x:f>IF(OR(A19="",V19="",AK19="",AJ19=""),"",SUM(V19,Z19:AG19,AJ19))</x:f>
      </x:c>
      <x:c r="AM19" s="106" t="str">
        <x:f>IF(OR(AK19="",AL19=""),"",AK19-AL19)</x:f>
      </x:c>
      <x:c r="AN19" s="104" t="str">
        <x:f>IF(A19="","",IF(OR(V19="",Q19="",R19="",S19="",E19="",AK19="",AJ19=""),"STOP: 必須未確認",IF(AM19&lt;=0,"STOP: 利益なし","要承認")))</x:f>
      </x:c>
      <x:c r="AO19" s="105"/>
      <x:c r="AP19" s="105"/>
      <x:c r="AQ19" s="106" t="str">
        <x:f>IF(OR(A19="",AO19="",AP19=""),"",AO19-AP19)</x:f>
      </x:c>
      <x:c r="AR19" s="103"/>
      <x:c r="AS19" s="103"/>
      <x:c r="AT19" s="103"/>
      <x:c r="AU19" s="103"/>
      <x:c r="AV19" s="103"/>
      <x:c r="AW19" s="103"/>
      <x:c r="AX19" s="107"/>
      <x:c r="AY19" s="103"/>
      <x:c r="AZ19" s="103"/>
      <x:c r="BA19" s="103"/>
      <x:c r="BB19" s="103"/>
      <x:c r="BC19" s="107"/>
      <x:c r="BD19" s="107"/>
      <x:c r="BE19" s="107"/>
      <x:c r="BF19" s="107"/>
      <x:c r="BG19" s="103"/>
    </x:row>
    <x:row r="20" ht="20" customHeight="1">
      <x:c r="A20" s="103"/>
      <x:c r="B20" s="103"/>
      <x:c r="C20" s="103"/>
      <x:c r="D20" s="107"/>
      <x:c r="E20" s="103"/>
      <x:c r="F20" s="103"/>
      <x:c r="G20" s="107"/>
      <x:c r="H20" s="103"/>
      <x:c r="I20" s="103"/>
      <x:c r="J20" s="103"/>
      <x:c r="K20" s="103"/>
      <x:c r="L20" s="103"/>
      <x:c r="M20" s="103"/>
      <x:c r="N20" s="103"/>
      <x:c r="O20" s="103"/>
      <x:c r="P20" s="103"/>
      <x:c r="Q20" s="103"/>
      <x:c r="R20" s="103"/>
      <x:c r="S20" s="103"/>
      <x:c r="T20" s="103"/>
      <x:c r="U20" s="103"/>
      <x:c r="V20" s="105"/>
      <x:c r="W20" s="103"/>
      <x:c r="X20" s="103"/>
      <x:c r="Y20" s="107"/>
      <x:c r="Z20" s="105"/>
      <x:c r="AA20" s="105"/>
      <x:c r="AB20" s="105"/>
      <x:c r="AC20" s="105"/>
      <x:c r="AD20" s="105"/>
      <x:c r="AE20" s="105"/>
      <x:c r="AF20" s="105"/>
      <x:c r="AG20" s="105"/>
      <x:c r="AH20" s="105"/>
      <x:c r="AI20" s="105"/>
      <x:c r="AJ20" s="106" t="str">
        <x:f>IF(OR(AK20="",'設定'!$B$4=""),"",AK20*'設定'!$B$4)</x:f>
      </x:c>
      <x:c r="AK20" s="106" t="str">
        <x:f>IF(OR(AH20="",AI20=""),"",AH20+AI20)</x:f>
      </x:c>
      <x:c r="AL20" s="106" t="str">
        <x:f>IF(OR(A20="",V20="",AK20="",AJ20=""),"",SUM(V20,Z20:AG20,AJ20))</x:f>
      </x:c>
      <x:c r="AM20" s="106" t="str">
        <x:f>IF(OR(AK20="",AL20=""),"",AK20-AL20)</x:f>
      </x:c>
      <x:c r="AN20" s="104" t="str">
        <x:f>IF(A20="","",IF(OR(V20="",Q20="",R20="",S20="",E20="",AK20="",AJ20=""),"STOP: 必須未確認",IF(AM20&lt;=0,"STOP: 利益なし","要承認")))</x:f>
      </x:c>
      <x:c r="AO20" s="105"/>
      <x:c r="AP20" s="105"/>
      <x:c r="AQ20" s="106" t="str">
        <x:f>IF(OR(A20="",AO20="",AP20=""),"",AO20-AP20)</x:f>
      </x:c>
      <x:c r="AR20" s="103"/>
      <x:c r="AS20" s="103"/>
      <x:c r="AT20" s="103"/>
      <x:c r="AU20" s="103"/>
      <x:c r="AV20" s="103"/>
      <x:c r="AW20" s="103"/>
      <x:c r="AX20" s="107"/>
      <x:c r="AY20" s="103"/>
      <x:c r="AZ20" s="103"/>
      <x:c r="BA20" s="103"/>
      <x:c r="BB20" s="103"/>
      <x:c r="BC20" s="107"/>
      <x:c r="BD20" s="107"/>
      <x:c r="BE20" s="107"/>
      <x:c r="BF20" s="107"/>
      <x:c r="BG20" s="103"/>
    </x:row>
    <x:row r="21" ht="20" customHeight="1">
      <x:c r="A21" s="103"/>
      <x:c r="B21" s="103"/>
      <x:c r="C21" s="103"/>
      <x:c r="D21" s="107"/>
      <x:c r="E21" s="103"/>
      <x:c r="F21" s="103"/>
      <x:c r="G21" s="107"/>
      <x:c r="H21" s="103"/>
      <x:c r="I21" s="103"/>
      <x:c r="J21" s="103"/>
      <x:c r="K21" s="103"/>
      <x:c r="L21" s="103"/>
      <x:c r="M21" s="103"/>
      <x:c r="N21" s="103"/>
      <x:c r="O21" s="103"/>
      <x:c r="P21" s="103"/>
      <x:c r="Q21" s="103"/>
      <x:c r="R21" s="103"/>
      <x:c r="S21" s="103"/>
      <x:c r="T21" s="103"/>
      <x:c r="U21" s="103"/>
      <x:c r="V21" s="105"/>
      <x:c r="W21" s="103"/>
      <x:c r="X21" s="103"/>
      <x:c r="Y21" s="107"/>
      <x:c r="Z21" s="105"/>
      <x:c r="AA21" s="105"/>
      <x:c r="AB21" s="105"/>
      <x:c r="AC21" s="105"/>
      <x:c r="AD21" s="105"/>
      <x:c r="AE21" s="105"/>
      <x:c r="AF21" s="105"/>
      <x:c r="AG21" s="105"/>
      <x:c r="AH21" s="105"/>
      <x:c r="AI21" s="105"/>
      <x:c r="AJ21" s="106" t="str">
        <x:f>IF(OR(AK21="",'設定'!$B$4=""),"",AK21*'設定'!$B$4)</x:f>
      </x:c>
      <x:c r="AK21" s="106" t="str">
        <x:f>IF(OR(AH21="",AI21=""),"",AH21+AI21)</x:f>
      </x:c>
      <x:c r="AL21" s="106" t="str">
        <x:f>IF(OR(A21="",V21="",AK21="",AJ21=""),"",SUM(V21,Z21:AG21,AJ21))</x:f>
      </x:c>
      <x:c r="AM21" s="106" t="str">
        <x:f>IF(OR(AK21="",AL21=""),"",AK21-AL21)</x:f>
      </x:c>
      <x:c r="AN21" s="104" t="str">
        <x:f>IF(A21="","",IF(OR(V21="",Q21="",R21="",S21="",E21="",AK21="",AJ21=""),"STOP: 必須未確認",IF(AM21&lt;=0,"STOP: 利益なし","要承認")))</x:f>
      </x:c>
      <x:c r="AO21" s="105"/>
      <x:c r="AP21" s="105"/>
      <x:c r="AQ21" s="106" t="str">
        <x:f>IF(OR(A21="",AO21="",AP21=""),"",AO21-AP21)</x:f>
      </x:c>
      <x:c r="AR21" s="103"/>
      <x:c r="AS21" s="103"/>
      <x:c r="AT21" s="103"/>
      <x:c r="AU21" s="103"/>
      <x:c r="AV21" s="103"/>
      <x:c r="AW21" s="103"/>
      <x:c r="AX21" s="107"/>
      <x:c r="AY21" s="103"/>
      <x:c r="AZ21" s="103"/>
      <x:c r="BA21" s="103"/>
      <x:c r="BB21" s="103"/>
      <x:c r="BC21" s="107"/>
      <x:c r="BD21" s="107"/>
      <x:c r="BE21" s="107"/>
      <x:c r="BF21" s="107"/>
      <x:c r="BG21" s="103"/>
    </x:row>
    <x:row r="22" ht="20" customHeight="1">
      <x:c r="A22" s="103"/>
      <x:c r="B22" s="103"/>
      <x:c r="C22" s="103"/>
      <x:c r="D22" s="107"/>
      <x:c r="E22" s="103"/>
      <x:c r="F22" s="103"/>
      <x:c r="G22" s="107"/>
      <x:c r="H22" s="103"/>
      <x:c r="I22" s="103"/>
      <x:c r="J22" s="103"/>
      <x:c r="K22" s="103"/>
      <x:c r="L22" s="103"/>
      <x:c r="M22" s="103"/>
      <x:c r="N22" s="103"/>
      <x:c r="O22" s="103"/>
      <x:c r="P22" s="103"/>
      <x:c r="Q22" s="103"/>
      <x:c r="R22" s="103"/>
      <x:c r="S22" s="103"/>
      <x:c r="T22" s="103"/>
      <x:c r="U22" s="103"/>
      <x:c r="V22" s="105"/>
      <x:c r="W22" s="103"/>
      <x:c r="X22" s="103"/>
      <x:c r="Y22" s="107"/>
      <x:c r="Z22" s="105"/>
      <x:c r="AA22" s="105"/>
      <x:c r="AB22" s="105"/>
      <x:c r="AC22" s="105"/>
      <x:c r="AD22" s="105"/>
      <x:c r="AE22" s="105"/>
      <x:c r="AF22" s="105"/>
      <x:c r="AG22" s="105"/>
      <x:c r="AH22" s="105"/>
      <x:c r="AI22" s="105"/>
      <x:c r="AJ22" s="106" t="str">
        <x:f>IF(OR(AK22="",'設定'!$B$4=""),"",AK22*'設定'!$B$4)</x:f>
      </x:c>
      <x:c r="AK22" s="106" t="str">
        <x:f>IF(OR(AH22="",AI22=""),"",AH22+AI22)</x:f>
      </x:c>
      <x:c r="AL22" s="106" t="str">
        <x:f>IF(OR(A22="",V22="",AK22="",AJ22=""),"",SUM(V22,Z22:AG22,AJ22))</x:f>
      </x:c>
      <x:c r="AM22" s="106" t="str">
        <x:f>IF(OR(AK22="",AL22=""),"",AK22-AL22)</x:f>
      </x:c>
      <x:c r="AN22" s="104" t="str">
        <x:f>IF(A22="","",IF(OR(V22="",Q22="",R22="",S22="",E22="",AK22="",AJ22=""),"STOP: 必須未確認",IF(AM22&lt;=0,"STOP: 利益なし","要承認")))</x:f>
      </x:c>
      <x:c r="AO22" s="105"/>
      <x:c r="AP22" s="105"/>
      <x:c r="AQ22" s="106" t="str">
        <x:f>IF(OR(A22="",AO22="",AP22=""),"",AO22-AP22)</x:f>
      </x:c>
      <x:c r="AR22" s="103"/>
      <x:c r="AS22" s="103"/>
      <x:c r="AT22" s="103"/>
      <x:c r="AU22" s="103"/>
      <x:c r="AV22" s="103"/>
      <x:c r="AW22" s="103"/>
      <x:c r="AX22" s="107"/>
      <x:c r="AY22" s="103"/>
      <x:c r="AZ22" s="103"/>
      <x:c r="BA22" s="103"/>
      <x:c r="BB22" s="103"/>
      <x:c r="BC22" s="107"/>
      <x:c r="BD22" s="107"/>
      <x:c r="BE22" s="107"/>
      <x:c r="BF22" s="107"/>
      <x:c r="BG22" s="103"/>
    </x:row>
    <x:row r="23" ht="20" customHeight="1">
      <x:c r="A23" s="103"/>
      <x:c r="B23" s="103"/>
      <x:c r="C23" s="103"/>
      <x:c r="D23" s="107"/>
      <x:c r="E23" s="103"/>
      <x:c r="F23" s="103"/>
      <x:c r="G23" s="107"/>
      <x:c r="H23" s="103"/>
      <x:c r="I23" s="103"/>
      <x:c r="J23" s="103"/>
      <x:c r="K23" s="103"/>
      <x:c r="L23" s="103"/>
      <x:c r="M23" s="103"/>
      <x:c r="N23" s="103"/>
      <x:c r="O23" s="103"/>
      <x:c r="P23" s="103"/>
      <x:c r="Q23" s="103"/>
      <x:c r="R23" s="103"/>
      <x:c r="S23" s="103"/>
      <x:c r="T23" s="103"/>
      <x:c r="U23" s="103"/>
      <x:c r="V23" s="105"/>
      <x:c r="W23" s="103"/>
      <x:c r="X23" s="103"/>
      <x:c r="Y23" s="107"/>
      <x:c r="Z23" s="105"/>
      <x:c r="AA23" s="105"/>
      <x:c r="AB23" s="105"/>
      <x:c r="AC23" s="105"/>
      <x:c r="AD23" s="105"/>
      <x:c r="AE23" s="105"/>
      <x:c r="AF23" s="105"/>
      <x:c r="AG23" s="105"/>
      <x:c r="AH23" s="105"/>
      <x:c r="AI23" s="105"/>
      <x:c r="AJ23" s="106" t="str">
        <x:f>IF(OR(AK23="",'設定'!$B$4=""),"",AK23*'設定'!$B$4)</x:f>
      </x:c>
      <x:c r="AK23" s="106" t="str">
        <x:f>IF(OR(AH23="",AI23=""),"",AH23+AI23)</x:f>
      </x:c>
      <x:c r="AL23" s="106" t="str">
        <x:f>IF(OR(A23="",V23="",AK23="",AJ23=""),"",SUM(V23,Z23:AG23,AJ23))</x:f>
      </x:c>
      <x:c r="AM23" s="106" t="str">
        <x:f>IF(OR(AK23="",AL23=""),"",AK23-AL23)</x:f>
      </x:c>
      <x:c r="AN23" s="104" t="str">
        <x:f>IF(A23="","",IF(OR(V23="",Q23="",R23="",S23="",E23="",AK23="",AJ23=""),"STOP: 必須未確認",IF(AM23&lt;=0,"STOP: 利益なし","要承認")))</x:f>
      </x:c>
      <x:c r="AO23" s="105"/>
      <x:c r="AP23" s="105"/>
      <x:c r="AQ23" s="106" t="str">
        <x:f>IF(OR(A23="",AO23="",AP23=""),"",AO23-AP23)</x:f>
      </x:c>
      <x:c r="AR23" s="103"/>
      <x:c r="AS23" s="103"/>
      <x:c r="AT23" s="103"/>
      <x:c r="AU23" s="103"/>
      <x:c r="AV23" s="103"/>
      <x:c r="AW23" s="103"/>
      <x:c r="AX23" s="107"/>
      <x:c r="AY23" s="103"/>
      <x:c r="AZ23" s="103"/>
      <x:c r="BA23" s="103"/>
      <x:c r="BB23" s="103"/>
      <x:c r="BC23" s="107"/>
      <x:c r="BD23" s="107"/>
      <x:c r="BE23" s="107"/>
      <x:c r="BF23" s="107"/>
      <x:c r="BG23" s="103"/>
    </x:row>
    <x:row r="24" ht="20" customHeight="1">
      <x:c r="A24" s="103"/>
      <x:c r="B24" s="103"/>
      <x:c r="C24" s="103"/>
      <x:c r="D24" s="107"/>
      <x:c r="E24" s="103"/>
      <x:c r="F24" s="103"/>
      <x:c r="G24" s="107"/>
      <x:c r="H24" s="103"/>
      <x:c r="I24" s="103"/>
      <x:c r="J24" s="103"/>
      <x:c r="K24" s="103"/>
      <x:c r="L24" s="103"/>
      <x:c r="M24" s="103"/>
      <x:c r="N24" s="103"/>
      <x:c r="O24" s="103"/>
      <x:c r="P24" s="103"/>
      <x:c r="Q24" s="103"/>
      <x:c r="R24" s="103"/>
      <x:c r="S24" s="103"/>
      <x:c r="T24" s="103"/>
      <x:c r="U24" s="103"/>
      <x:c r="V24" s="105"/>
      <x:c r="W24" s="103"/>
      <x:c r="X24" s="103"/>
      <x:c r="Y24" s="107"/>
      <x:c r="Z24" s="105"/>
      <x:c r="AA24" s="105"/>
      <x:c r="AB24" s="105"/>
      <x:c r="AC24" s="105"/>
      <x:c r="AD24" s="105"/>
      <x:c r="AE24" s="105"/>
      <x:c r="AF24" s="105"/>
      <x:c r="AG24" s="105"/>
      <x:c r="AH24" s="105"/>
      <x:c r="AI24" s="105"/>
      <x:c r="AJ24" s="106" t="str">
        <x:f>IF(OR(AK24="",'設定'!$B$4=""),"",AK24*'設定'!$B$4)</x:f>
      </x:c>
      <x:c r="AK24" s="106" t="str">
        <x:f>IF(OR(AH24="",AI24=""),"",AH24+AI24)</x:f>
      </x:c>
      <x:c r="AL24" s="106" t="str">
        <x:f>IF(OR(A24="",V24="",AK24="",AJ24=""),"",SUM(V24,Z24:AG24,AJ24))</x:f>
      </x:c>
      <x:c r="AM24" s="106" t="str">
        <x:f>IF(OR(AK24="",AL24=""),"",AK24-AL24)</x:f>
      </x:c>
      <x:c r="AN24" s="104" t="str">
        <x:f>IF(A24="","",IF(OR(V24="",Q24="",R24="",S24="",E24="",AK24="",AJ24=""),"STOP: 必須未確認",IF(AM24&lt;=0,"STOP: 利益なし","要承認")))</x:f>
      </x:c>
      <x:c r="AO24" s="105"/>
      <x:c r="AP24" s="105"/>
      <x:c r="AQ24" s="106" t="str">
        <x:f>IF(OR(A24="",AO24="",AP24=""),"",AO24-AP24)</x:f>
      </x:c>
      <x:c r="AR24" s="103"/>
      <x:c r="AS24" s="103"/>
      <x:c r="AT24" s="103"/>
      <x:c r="AU24" s="103"/>
      <x:c r="AV24" s="103"/>
      <x:c r="AW24" s="103"/>
      <x:c r="AX24" s="107"/>
      <x:c r="AY24" s="103"/>
      <x:c r="AZ24" s="103"/>
      <x:c r="BA24" s="103"/>
      <x:c r="BB24" s="103"/>
      <x:c r="BC24" s="107"/>
      <x:c r="BD24" s="107"/>
      <x:c r="BE24" s="107"/>
      <x:c r="BF24" s="107"/>
      <x:c r="BG24" s="103"/>
    </x:row>
    <x:row r="25" ht="20" customHeight="1">
      <x:c r="A25" s="103"/>
      <x:c r="B25" s="103"/>
      <x:c r="C25" s="103"/>
      <x:c r="D25" s="107"/>
      <x:c r="E25" s="103"/>
      <x:c r="F25" s="103"/>
      <x:c r="G25" s="107"/>
      <x:c r="H25" s="103"/>
      <x:c r="I25" s="103"/>
      <x:c r="J25" s="103"/>
      <x:c r="K25" s="103"/>
      <x:c r="L25" s="103"/>
      <x:c r="M25" s="103"/>
      <x:c r="N25" s="103"/>
      <x:c r="O25" s="103"/>
      <x:c r="P25" s="103"/>
      <x:c r="Q25" s="103"/>
      <x:c r="R25" s="103"/>
      <x:c r="S25" s="103"/>
      <x:c r="T25" s="103"/>
      <x:c r="U25" s="103"/>
      <x:c r="V25" s="105"/>
      <x:c r="W25" s="103"/>
      <x:c r="X25" s="103"/>
      <x:c r="Y25" s="107"/>
      <x:c r="Z25" s="105"/>
      <x:c r="AA25" s="105"/>
      <x:c r="AB25" s="105"/>
      <x:c r="AC25" s="105"/>
      <x:c r="AD25" s="105"/>
      <x:c r="AE25" s="105"/>
      <x:c r="AF25" s="105"/>
      <x:c r="AG25" s="105"/>
      <x:c r="AH25" s="105"/>
      <x:c r="AI25" s="105"/>
      <x:c r="AJ25" s="106" t="str">
        <x:f>IF(OR(AK25="",'設定'!$B$4=""),"",AK25*'設定'!$B$4)</x:f>
      </x:c>
      <x:c r="AK25" s="106" t="str">
        <x:f>IF(OR(AH25="",AI25=""),"",AH25+AI25)</x:f>
      </x:c>
      <x:c r="AL25" s="106" t="str">
        <x:f>IF(OR(A25="",V25="",AK25="",AJ25=""),"",SUM(V25,Z25:AG25,AJ25))</x:f>
      </x:c>
      <x:c r="AM25" s="106" t="str">
        <x:f>IF(OR(AK25="",AL25=""),"",AK25-AL25)</x:f>
      </x:c>
      <x:c r="AN25" s="104" t="str">
        <x:f>IF(A25="","",IF(OR(V25="",Q25="",R25="",S25="",E25="",AK25="",AJ25=""),"STOP: 必須未確認",IF(AM25&lt;=0,"STOP: 利益なし","要承認")))</x:f>
      </x:c>
      <x:c r="AO25" s="105"/>
      <x:c r="AP25" s="105"/>
      <x:c r="AQ25" s="106" t="str">
        <x:f>IF(OR(A25="",AO25="",AP25=""),"",AO25-AP25)</x:f>
      </x:c>
      <x:c r="AR25" s="103"/>
      <x:c r="AS25" s="103"/>
      <x:c r="AT25" s="103"/>
      <x:c r="AU25" s="103"/>
      <x:c r="AV25" s="103"/>
      <x:c r="AW25" s="103"/>
      <x:c r="AX25" s="107"/>
      <x:c r="AY25" s="103"/>
      <x:c r="AZ25" s="103"/>
      <x:c r="BA25" s="103"/>
      <x:c r="BB25" s="103"/>
      <x:c r="BC25" s="107"/>
      <x:c r="BD25" s="107"/>
      <x:c r="BE25" s="107"/>
      <x:c r="BF25" s="107"/>
      <x:c r="BG25" s="103"/>
    </x:row>
    <x:row r="26" ht="20" customHeight="1">
      <x:c r="A26" s="103"/>
      <x:c r="B26" s="103"/>
      <x:c r="C26" s="103"/>
      <x:c r="D26" s="107"/>
      <x:c r="E26" s="103"/>
      <x:c r="F26" s="103"/>
      <x:c r="G26" s="107"/>
      <x:c r="H26" s="103"/>
      <x:c r="I26" s="103"/>
      <x:c r="J26" s="103"/>
      <x:c r="K26" s="103"/>
      <x:c r="L26" s="103"/>
      <x:c r="M26" s="103"/>
      <x:c r="N26" s="103"/>
      <x:c r="O26" s="103"/>
      <x:c r="P26" s="103"/>
      <x:c r="Q26" s="103"/>
      <x:c r="R26" s="103"/>
      <x:c r="S26" s="103"/>
      <x:c r="T26" s="103"/>
      <x:c r="U26" s="103"/>
      <x:c r="V26" s="105"/>
      <x:c r="W26" s="103"/>
      <x:c r="X26" s="103"/>
      <x:c r="Y26" s="107"/>
      <x:c r="Z26" s="105"/>
      <x:c r="AA26" s="105"/>
      <x:c r="AB26" s="105"/>
      <x:c r="AC26" s="105"/>
      <x:c r="AD26" s="105"/>
      <x:c r="AE26" s="105"/>
      <x:c r="AF26" s="105"/>
      <x:c r="AG26" s="105"/>
      <x:c r="AH26" s="105"/>
      <x:c r="AI26" s="105"/>
      <x:c r="AJ26" s="106" t="str">
        <x:f>IF(OR(AK26="",'設定'!$B$4=""),"",AK26*'設定'!$B$4)</x:f>
      </x:c>
      <x:c r="AK26" s="106" t="str">
        <x:f>IF(OR(AH26="",AI26=""),"",AH26+AI26)</x:f>
      </x:c>
      <x:c r="AL26" s="106" t="str">
        <x:f>IF(OR(A26="",V26="",AK26="",AJ26=""),"",SUM(V26,Z26:AG26,AJ26))</x:f>
      </x:c>
      <x:c r="AM26" s="106" t="str">
        <x:f>IF(OR(AK26="",AL26=""),"",AK26-AL26)</x:f>
      </x:c>
      <x:c r="AN26" s="104" t="str">
        <x:f>IF(A26="","",IF(OR(V26="",Q26="",R26="",S26="",E26="",AK26="",AJ26=""),"STOP: 必須未確認",IF(AM26&lt;=0,"STOP: 利益なし","要承認")))</x:f>
      </x:c>
      <x:c r="AO26" s="105"/>
      <x:c r="AP26" s="105"/>
      <x:c r="AQ26" s="106" t="str">
        <x:f>IF(OR(A26="",AO26="",AP26=""),"",AO26-AP26)</x:f>
      </x:c>
      <x:c r="AR26" s="103"/>
      <x:c r="AS26" s="103"/>
      <x:c r="AT26" s="103"/>
      <x:c r="AU26" s="103"/>
      <x:c r="AV26" s="103"/>
      <x:c r="AW26" s="103"/>
      <x:c r="AX26" s="107"/>
      <x:c r="AY26" s="103"/>
      <x:c r="AZ26" s="103"/>
      <x:c r="BA26" s="103"/>
      <x:c r="BB26" s="103"/>
      <x:c r="BC26" s="107"/>
      <x:c r="BD26" s="107"/>
      <x:c r="BE26" s="107"/>
      <x:c r="BF26" s="107"/>
      <x:c r="BG26" s="103"/>
    </x:row>
    <x:row r="27" ht="20" customHeight="1">
      <x:c r="A27" s="103"/>
      <x:c r="B27" s="103"/>
      <x:c r="C27" s="103"/>
      <x:c r="D27" s="107"/>
      <x:c r="E27" s="103"/>
      <x:c r="F27" s="103"/>
      <x:c r="G27" s="107"/>
      <x:c r="H27" s="103"/>
      <x:c r="I27" s="103"/>
      <x:c r="J27" s="103"/>
      <x:c r="K27" s="103"/>
      <x:c r="L27" s="103"/>
      <x:c r="M27" s="103"/>
      <x:c r="N27" s="103"/>
      <x:c r="O27" s="103"/>
      <x:c r="P27" s="103"/>
      <x:c r="Q27" s="103"/>
      <x:c r="R27" s="103"/>
      <x:c r="S27" s="103"/>
      <x:c r="T27" s="103"/>
      <x:c r="U27" s="103"/>
      <x:c r="V27" s="105"/>
      <x:c r="W27" s="103"/>
      <x:c r="X27" s="103"/>
      <x:c r="Y27" s="107"/>
      <x:c r="Z27" s="105"/>
      <x:c r="AA27" s="105"/>
      <x:c r="AB27" s="105"/>
      <x:c r="AC27" s="105"/>
      <x:c r="AD27" s="105"/>
      <x:c r="AE27" s="105"/>
      <x:c r="AF27" s="105"/>
      <x:c r="AG27" s="105"/>
      <x:c r="AH27" s="105"/>
      <x:c r="AI27" s="105"/>
      <x:c r="AJ27" s="106" t="str">
        <x:f>IF(OR(AK27="",'設定'!$B$4=""),"",AK27*'設定'!$B$4)</x:f>
      </x:c>
      <x:c r="AK27" s="106" t="str">
        <x:f>IF(OR(AH27="",AI27=""),"",AH27+AI27)</x:f>
      </x:c>
      <x:c r="AL27" s="106" t="str">
        <x:f>IF(OR(A27="",V27="",AK27="",AJ27=""),"",SUM(V27,Z27:AG27,AJ27))</x:f>
      </x:c>
      <x:c r="AM27" s="106" t="str">
        <x:f>IF(OR(AK27="",AL27=""),"",AK27-AL27)</x:f>
      </x:c>
      <x:c r="AN27" s="104" t="str">
        <x:f>IF(A27="","",IF(OR(V27="",Q27="",R27="",S27="",E27="",AK27="",AJ27=""),"STOP: 必須未確認",IF(AM27&lt;=0,"STOP: 利益なし","要承認")))</x:f>
      </x:c>
      <x:c r="AO27" s="105"/>
      <x:c r="AP27" s="105"/>
      <x:c r="AQ27" s="106" t="str">
        <x:f>IF(OR(A27="",AO27="",AP27=""),"",AO27-AP27)</x:f>
      </x:c>
      <x:c r="AR27" s="103"/>
      <x:c r="AS27" s="103"/>
      <x:c r="AT27" s="103"/>
      <x:c r="AU27" s="103"/>
      <x:c r="AV27" s="103"/>
      <x:c r="AW27" s="103"/>
      <x:c r="AX27" s="107"/>
      <x:c r="AY27" s="103"/>
      <x:c r="AZ27" s="103"/>
      <x:c r="BA27" s="103"/>
      <x:c r="BB27" s="103"/>
      <x:c r="BC27" s="107"/>
      <x:c r="BD27" s="107"/>
      <x:c r="BE27" s="107"/>
      <x:c r="BF27" s="107"/>
      <x:c r="BG27" s="103"/>
    </x:row>
    <x:row r="28" ht="20" customHeight="1">
      <x:c r="A28" s="103"/>
      <x:c r="B28" s="103"/>
      <x:c r="C28" s="103"/>
      <x:c r="D28" s="107"/>
      <x:c r="E28" s="103"/>
      <x:c r="F28" s="103"/>
      <x:c r="G28" s="107"/>
      <x:c r="H28" s="103"/>
      <x:c r="I28" s="103"/>
      <x:c r="J28" s="103"/>
      <x:c r="K28" s="103"/>
      <x:c r="L28" s="103"/>
      <x:c r="M28" s="103"/>
      <x:c r="N28" s="103"/>
      <x:c r="O28" s="103"/>
      <x:c r="P28" s="103"/>
      <x:c r="Q28" s="103"/>
      <x:c r="R28" s="103"/>
      <x:c r="S28" s="103"/>
      <x:c r="T28" s="103"/>
      <x:c r="U28" s="103"/>
      <x:c r="V28" s="105"/>
      <x:c r="W28" s="103"/>
      <x:c r="X28" s="103"/>
      <x:c r="Y28" s="107"/>
      <x:c r="Z28" s="105"/>
      <x:c r="AA28" s="105"/>
      <x:c r="AB28" s="105"/>
      <x:c r="AC28" s="105"/>
      <x:c r="AD28" s="105"/>
      <x:c r="AE28" s="105"/>
      <x:c r="AF28" s="105"/>
      <x:c r="AG28" s="105"/>
      <x:c r="AH28" s="105"/>
      <x:c r="AI28" s="105"/>
      <x:c r="AJ28" s="106" t="str">
        <x:f>IF(OR(AK28="",'設定'!$B$4=""),"",AK28*'設定'!$B$4)</x:f>
      </x:c>
      <x:c r="AK28" s="106" t="str">
        <x:f>IF(OR(AH28="",AI28=""),"",AH28+AI28)</x:f>
      </x:c>
      <x:c r="AL28" s="106" t="str">
        <x:f>IF(OR(A28="",V28="",AK28="",AJ28=""),"",SUM(V28,Z28:AG28,AJ28))</x:f>
      </x:c>
      <x:c r="AM28" s="106" t="str">
        <x:f>IF(OR(AK28="",AL28=""),"",AK28-AL28)</x:f>
      </x:c>
      <x:c r="AN28" s="104" t="str">
        <x:f>IF(A28="","",IF(OR(V28="",Q28="",R28="",S28="",E28="",AK28="",AJ28=""),"STOP: 必須未確認",IF(AM28&lt;=0,"STOP: 利益なし","要承認")))</x:f>
      </x:c>
      <x:c r="AO28" s="105"/>
      <x:c r="AP28" s="105"/>
      <x:c r="AQ28" s="106" t="str">
        <x:f>IF(OR(A28="",AO28="",AP28=""),"",AO28-AP28)</x:f>
      </x:c>
      <x:c r="AR28" s="103"/>
      <x:c r="AS28" s="103"/>
      <x:c r="AT28" s="103"/>
      <x:c r="AU28" s="103"/>
      <x:c r="AV28" s="103"/>
      <x:c r="AW28" s="103"/>
      <x:c r="AX28" s="107"/>
      <x:c r="AY28" s="103"/>
      <x:c r="AZ28" s="103"/>
      <x:c r="BA28" s="103"/>
      <x:c r="BB28" s="103"/>
      <x:c r="BC28" s="107"/>
      <x:c r="BD28" s="107"/>
      <x:c r="BE28" s="107"/>
      <x:c r="BF28" s="107"/>
      <x:c r="BG28" s="103"/>
    </x:row>
    <x:row r="29" ht="20" customHeight="1">
      <x:c r="A29" s="103"/>
      <x:c r="B29" s="103"/>
      <x:c r="C29" s="103"/>
      <x:c r="D29" s="107"/>
      <x:c r="E29" s="103"/>
      <x:c r="F29" s="103"/>
      <x:c r="G29" s="107"/>
      <x:c r="H29" s="103"/>
      <x:c r="I29" s="103"/>
      <x:c r="J29" s="103"/>
      <x:c r="K29" s="103"/>
      <x:c r="L29" s="103"/>
      <x:c r="M29" s="103"/>
      <x:c r="N29" s="103"/>
      <x:c r="O29" s="103"/>
      <x:c r="P29" s="103"/>
      <x:c r="Q29" s="103"/>
      <x:c r="R29" s="103"/>
      <x:c r="S29" s="103"/>
      <x:c r="T29" s="103"/>
      <x:c r="U29" s="103"/>
      <x:c r="V29" s="105"/>
      <x:c r="W29" s="103"/>
      <x:c r="X29" s="103"/>
      <x:c r="Y29" s="107"/>
      <x:c r="Z29" s="105"/>
      <x:c r="AA29" s="105"/>
      <x:c r="AB29" s="105"/>
      <x:c r="AC29" s="105"/>
      <x:c r="AD29" s="105"/>
      <x:c r="AE29" s="105"/>
      <x:c r="AF29" s="105"/>
      <x:c r="AG29" s="105"/>
      <x:c r="AH29" s="105"/>
      <x:c r="AI29" s="105"/>
      <x:c r="AJ29" s="106" t="str">
        <x:f>IF(OR(AK29="",'設定'!$B$4=""),"",AK29*'設定'!$B$4)</x:f>
      </x:c>
      <x:c r="AK29" s="106" t="str">
        <x:f>IF(OR(AH29="",AI29=""),"",AH29+AI29)</x:f>
      </x:c>
      <x:c r="AL29" s="106" t="str">
        <x:f>IF(OR(A29="",V29="",AK29="",AJ29=""),"",SUM(V29,Z29:AG29,AJ29))</x:f>
      </x:c>
      <x:c r="AM29" s="106" t="str">
        <x:f>IF(OR(AK29="",AL29=""),"",AK29-AL29)</x:f>
      </x:c>
      <x:c r="AN29" s="104" t="str">
        <x:f>IF(A29="","",IF(OR(V29="",Q29="",R29="",S29="",E29="",AK29="",AJ29=""),"STOP: 必須未確認",IF(AM29&lt;=0,"STOP: 利益なし","要承認")))</x:f>
      </x:c>
      <x:c r="AO29" s="105"/>
      <x:c r="AP29" s="105"/>
      <x:c r="AQ29" s="106" t="str">
        <x:f>IF(OR(A29="",AO29="",AP29=""),"",AO29-AP29)</x:f>
      </x:c>
      <x:c r="AR29" s="103"/>
      <x:c r="AS29" s="103"/>
      <x:c r="AT29" s="103"/>
      <x:c r="AU29" s="103"/>
      <x:c r="AV29" s="103"/>
      <x:c r="AW29" s="103"/>
      <x:c r="AX29" s="107"/>
      <x:c r="AY29" s="103"/>
      <x:c r="AZ29" s="103"/>
      <x:c r="BA29" s="103"/>
      <x:c r="BB29" s="103"/>
      <x:c r="BC29" s="107"/>
      <x:c r="BD29" s="107"/>
      <x:c r="BE29" s="107"/>
      <x:c r="BF29" s="107"/>
      <x:c r="BG29" s="103"/>
    </x:row>
    <x:row r="30" ht="20" customHeight="1">
      <x:c r="A30" s="103"/>
      <x:c r="B30" s="103"/>
      <x:c r="C30" s="103"/>
      <x:c r="D30" s="107"/>
      <x:c r="E30" s="103"/>
      <x:c r="F30" s="103"/>
      <x:c r="G30" s="107"/>
      <x:c r="H30" s="103"/>
      <x:c r="I30" s="103"/>
      <x:c r="J30" s="103"/>
      <x:c r="K30" s="103"/>
      <x:c r="L30" s="103"/>
      <x:c r="M30" s="103"/>
      <x:c r="N30" s="103"/>
      <x:c r="O30" s="103"/>
      <x:c r="P30" s="103"/>
      <x:c r="Q30" s="103"/>
      <x:c r="R30" s="103"/>
      <x:c r="S30" s="103"/>
      <x:c r="T30" s="103"/>
      <x:c r="U30" s="103"/>
      <x:c r="V30" s="105"/>
      <x:c r="W30" s="103"/>
      <x:c r="X30" s="103"/>
      <x:c r="Y30" s="107"/>
      <x:c r="Z30" s="105"/>
      <x:c r="AA30" s="105"/>
      <x:c r="AB30" s="105"/>
      <x:c r="AC30" s="105"/>
      <x:c r="AD30" s="105"/>
      <x:c r="AE30" s="105"/>
      <x:c r="AF30" s="105"/>
      <x:c r="AG30" s="105"/>
      <x:c r="AH30" s="105"/>
      <x:c r="AI30" s="105"/>
      <x:c r="AJ30" s="106" t="str">
        <x:f>IF(OR(AK30="",'設定'!$B$4=""),"",AK30*'設定'!$B$4)</x:f>
      </x:c>
      <x:c r="AK30" s="106" t="str">
        <x:f>IF(OR(AH30="",AI30=""),"",AH30+AI30)</x:f>
      </x:c>
      <x:c r="AL30" s="106" t="str">
        <x:f>IF(OR(A30="",V30="",AK30="",AJ30=""),"",SUM(V30,Z30:AG30,AJ30))</x:f>
      </x:c>
      <x:c r="AM30" s="106" t="str">
        <x:f>IF(OR(AK30="",AL30=""),"",AK30-AL30)</x:f>
      </x:c>
      <x:c r="AN30" s="104" t="str">
        <x:f>IF(A30="","",IF(OR(V30="",Q30="",R30="",S30="",E30="",AK30="",AJ30=""),"STOP: 必須未確認",IF(AM30&lt;=0,"STOP: 利益なし","要承認")))</x:f>
      </x:c>
      <x:c r="AO30" s="105"/>
      <x:c r="AP30" s="105"/>
      <x:c r="AQ30" s="106" t="str">
        <x:f>IF(OR(A30="",AO30="",AP30=""),"",AO30-AP30)</x:f>
      </x:c>
      <x:c r="AR30" s="103"/>
      <x:c r="AS30" s="103"/>
      <x:c r="AT30" s="103"/>
      <x:c r="AU30" s="103"/>
      <x:c r="AV30" s="103"/>
      <x:c r="AW30" s="103"/>
      <x:c r="AX30" s="107"/>
      <x:c r="AY30" s="103"/>
      <x:c r="AZ30" s="103"/>
      <x:c r="BA30" s="103"/>
      <x:c r="BB30" s="103"/>
      <x:c r="BC30" s="107"/>
      <x:c r="BD30" s="107"/>
      <x:c r="BE30" s="107"/>
      <x:c r="BF30" s="107"/>
      <x:c r="BG30" s="103"/>
    </x:row>
    <x:row r="31" ht="20" customHeight="1">
      <x:c r="A31" s="103"/>
      <x:c r="B31" s="103"/>
      <x:c r="C31" s="103"/>
      <x:c r="D31" s="107"/>
      <x:c r="E31" s="103"/>
      <x:c r="F31" s="103"/>
      <x:c r="G31" s="107"/>
      <x:c r="H31" s="103"/>
      <x:c r="I31" s="103"/>
      <x:c r="J31" s="103"/>
      <x:c r="K31" s="103"/>
      <x:c r="L31" s="103"/>
      <x:c r="M31" s="103"/>
      <x:c r="N31" s="103"/>
      <x:c r="O31" s="103"/>
      <x:c r="P31" s="103"/>
      <x:c r="Q31" s="103"/>
      <x:c r="R31" s="103"/>
      <x:c r="S31" s="103"/>
      <x:c r="T31" s="103"/>
      <x:c r="U31" s="103"/>
      <x:c r="V31" s="105"/>
      <x:c r="W31" s="103"/>
      <x:c r="X31" s="103"/>
      <x:c r="Y31" s="107"/>
      <x:c r="Z31" s="105"/>
      <x:c r="AA31" s="105"/>
      <x:c r="AB31" s="105"/>
      <x:c r="AC31" s="105"/>
      <x:c r="AD31" s="105"/>
      <x:c r="AE31" s="105"/>
      <x:c r="AF31" s="105"/>
      <x:c r="AG31" s="105"/>
      <x:c r="AH31" s="105"/>
      <x:c r="AI31" s="105"/>
      <x:c r="AJ31" s="106" t="str">
        <x:f>IF(OR(AK31="",'設定'!$B$4=""),"",AK31*'設定'!$B$4)</x:f>
      </x:c>
      <x:c r="AK31" s="106" t="str">
        <x:f>IF(OR(AH31="",AI31=""),"",AH31+AI31)</x:f>
      </x:c>
      <x:c r="AL31" s="106" t="str">
        <x:f>IF(OR(A31="",V31="",AK31="",AJ31=""),"",SUM(V31,Z31:AG31,AJ31))</x:f>
      </x:c>
      <x:c r="AM31" s="106" t="str">
        <x:f>IF(OR(AK31="",AL31=""),"",AK31-AL31)</x:f>
      </x:c>
      <x:c r="AN31" s="104" t="str">
        <x:f>IF(A31="","",IF(OR(V31="",Q31="",R31="",S31="",E31="",AK31="",AJ31=""),"STOP: 必須未確認",IF(AM31&lt;=0,"STOP: 利益なし","要承認")))</x:f>
      </x:c>
      <x:c r="AO31" s="105"/>
      <x:c r="AP31" s="105"/>
      <x:c r="AQ31" s="106" t="str">
        <x:f>IF(OR(A31="",AO31="",AP31=""),"",AO31-AP31)</x:f>
      </x:c>
      <x:c r="AR31" s="103"/>
      <x:c r="AS31" s="103"/>
      <x:c r="AT31" s="103"/>
      <x:c r="AU31" s="103"/>
      <x:c r="AV31" s="103"/>
      <x:c r="AW31" s="103"/>
      <x:c r="AX31" s="107"/>
      <x:c r="AY31" s="103"/>
      <x:c r="AZ31" s="103"/>
      <x:c r="BA31" s="103"/>
      <x:c r="BB31" s="103"/>
      <x:c r="BC31" s="107"/>
      <x:c r="BD31" s="107"/>
      <x:c r="BE31" s="107"/>
      <x:c r="BF31" s="107"/>
      <x:c r="BG31" s="103"/>
    </x:row>
    <x:row r="32" ht="20" customHeight="1">
      <x:c r="A32" s="103"/>
      <x:c r="B32" s="103"/>
      <x:c r="C32" s="103"/>
      <x:c r="D32" s="107"/>
      <x:c r="E32" s="103"/>
      <x:c r="F32" s="103"/>
      <x:c r="G32" s="107"/>
      <x:c r="H32" s="103"/>
      <x:c r="I32" s="103"/>
      <x:c r="J32" s="103"/>
      <x:c r="K32" s="103"/>
      <x:c r="L32" s="103"/>
      <x:c r="M32" s="103"/>
      <x:c r="N32" s="103"/>
      <x:c r="O32" s="103"/>
      <x:c r="P32" s="103"/>
      <x:c r="Q32" s="103"/>
      <x:c r="R32" s="103"/>
      <x:c r="S32" s="103"/>
      <x:c r="T32" s="103"/>
      <x:c r="U32" s="103"/>
      <x:c r="V32" s="105"/>
      <x:c r="W32" s="103"/>
      <x:c r="X32" s="103"/>
      <x:c r="Y32" s="107"/>
      <x:c r="Z32" s="105"/>
      <x:c r="AA32" s="105"/>
      <x:c r="AB32" s="105"/>
      <x:c r="AC32" s="105"/>
      <x:c r="AD32" s="105"/>
      <x:c r="AE32" s="105"/>
      <x:c r="AF32" s="105"/>
      <x:c r="AG32" s="105"/>
      <x:c r="AH32" s="105"/>
      <x:c r="AI32" s="105"/>
      <x:c r="AJ32" s="106" t="str">
        <x:f>IF(OR(AK32="",'設定'!$B$4=""),"",AK32*'設定'!$B$4)</x:f>
      </x:c>
      <x:c r="AK32" s="106" t="str">
        <x:f>IF(OR(AH32="",AI32=""),"",AH32+AI32)</x:f>
      </x:c>
      <x:c r="AL32" s="106" t="str">
        <x:f>IF(OR(A32="",V32="",AK32="",AJ32=""),"",SUM(V32,Z32:AG32,AJ32))</x:f>
      </x:c>
      <x:c r="AM32" s="106" t="str">
        <x:f>IF(OR(AK32="",AL32=""),"",AK32-AL32)</x:f>
      </x:c>
      <x:c r="AN32" s="104" t="str">
        <x:f>IF(A32="","",IF(OR(V32="",Q32="",R32="",S32="",E32="",AK32="",AJ32=""),"STOP: 必須未確認",IF(AM32&lt;=0,"STOP: 利益なし","要承認")))</x:f>
      </x:c>
      <x:c r="AO32" s="105"/>
      <x:c r="AP32" s="105"/>
      <x:c r="AQ32" s="106" t="str">
        <x:f>IF(OR(A32="",AO32="",AP32=""),"",AO32-AP32)</x:f>
      </x:c>
      <x:c r="AR32" s="103"/>
      <x:c r="AS32" s="103"/>
      <x:c r="AT32" s="103"/>
      <x:c r="AU32" s="103"/>
      <x:c r="AV32" s="103"/>
      <x:c r="AW32" s="103"/>
      <x:c r="AX32" s="107"/>
      <x:c r="AY32" s="103"/>
      <x:c r="AZ32" s="103"/>
      <x:c r="BA32" s="103"/>
      <x:c r="BB32" s="103"/>
      <x:c r="BC32" s="107"/>
      <x:c r="BD32" s="107"/>
      <x:c r="BE32" s="107"/>
      <x:c r="BF32" s="107"/>
      <x:c r="BG32" s="103"/>
    </x:row>
    <x:row r="33" ht="20" customHeight="1">
      <x:c r="A33" s="103"/>
      <x:c r="B33" s="103"/>
      <x:c r="C33" s="103"/>
      <x:c r="D33" s="107"/>
      <x:c r="E33" s="103"/>
      <x:c r="F33" s="103"/>
      <x:c r="G33" s="107"/>
      <x:c r="H33" s="103"/>
      <x:c r="I33" s="103"/>
      <x:c r="J33" s="103"/>
      <x:c r="K33" s="103"/>
      <x:c r="L33" s="103"/>
      <x:c r="M33" s="103"/>
      <x:c r="N33" s="103"/>
      <x:c r="O33" s="103"/>
      <x:c r="P33" s="103"/>
      <x:c r="Q33" s="103"/>
      <x:c r="R33" s="103"/>
      <x:c r="S33" s="103"/>
      <x:c r="T33" s="103"/>
      <x:c r="U33" s="103"/>
      <x:c r="V33" s="105"/>
      <x:c r="W33" s="103"/>
      <x:c r="X33" s="103"/>
      <x:c r="Y33" s="107"/>
      <x:c r="Z33" s="105"/>
      <x:c r="AA33" s="105"/>
      <x:c r="AB33" s="105"/>
      <x:c r="AC33" s="105"/>
      <x:c r="AD33" s="105"/>
      <x:c r="AE33" s="105"/>
      <x:c r="AF33" s="105"/>
      <x:c r="AG33" s="105"/>
      <x:c r="AH33" s="105"/>
      <x:c r="AI33" s="105"/>
      <x:c r="AJ33" s="106" t="str">
        <x:f>IF(OR(AK33="",'設定'!$B$4=""),"",AK33*'設定'!$B$4)</x:f>
      </x:c>
      <x:c r="AK33" s="106" t="str">
        <x:f>IF(OR(AH33="",AI33=""),"",AH33+AI33)</x:f>
      </x:c>
      <x:c r="AL33" s="106" t="str">
        <x:f>IF(OR(A33="",V33="",AK33="",AJ33=""),"",SUM(V33,Z33:AG33,AJ33))</x:f>
      </x:c>
      <x:c r="AM33" s="106" t="str">
        <x:f>IF(OR(AK33="",AL33=""),"",AK33-AL33)</x:f>
      </x:c>
      <x:c r="AN33" s="104" t="str">
        <x:f>IF(A33="","",IF(OR(V33="",Q33="",R33="",S33="",E33="",AK33="",AJ33=""),"STOP: 必須未確認",IF(AM33&lt;=0,"STOP: 利益なし","要承認")))</x:f>
      </x:c>
      <x:c r="AO33" s="105"/>
      <x:c r="AP33" s="105"/>
      <x:c r="AQ33" s="106" t="str">
        <x:f>IF(OR(A33="",AO33="",AP33=""),"",AO33-AP33)</x:f>
      </x:c>
      <x:c r="AR33" s="103"/>
      <x:c r="AS33" s="103"/>
      <x:c r="AT33" s="103"/>
      <x:c r="AU33" s="103"/>
      <x:c r="AV33" s="103"/>
      <x:c r="AW33" s="103"/>
      <x:c r="AX33" s="107"/>
      <x:c r="AY33" s="103"/>
      <x:c r="AZ33" s="103"/>
      <x:c r="BA33" s="103"/>
      <x:c r="BB33" s="103"/>
      <x:c r="BC33" s="107"/>
      <x:c r="BD33" s="107"/>
      <x:c r="BE33" s="107"/>
      <x:c r="BF33" s="107"/>
      <x:c r="BG33" s="103"/>
    </x:row>
    <x:row r="34" ht="20" customHeight="1">
      <x:c r="A34" s="103"/>
      <x:c r="B34" s="103"/>
      <x:c r="C34" s="103"/>
      <x:c r="D34" s="107"/>
      <x:c r="E34" s="103"/>
      <x:c r="F34" s="103"/>
      <x:c r="G34" s="107"/>
      <x:c r="H34" s="103"/>
      <x:c r="I34" s="103"/>
      <x:c r="J34" s="103"/>
      <x:c r="K34" s="103"/>
      <x:c r="L34" s="103"/>
      <x:c r="M34" s="103"/>
      <x:c r="N34" s="103"/>
      <x:c r="O34" s="103"/>
      <x:c r="P34" s="103"/>
      <x:c r="Q34" s="103"/>
      <x:c r="R34" s="103"/>
      <x:c r="S34" s="103"/>
      <x:c r="T34" s="103"/>
      <x:c r="U34" s="103"/>
      <x:c r="V34" s="105"/>
      <x:c r="W34" s="103"/>
      <x:c r="X34" s="103"/>
      <x:c r="Y34" s="107"/>
      <x:c r="Z34" s="105"/>
      <x:c r="AA34" s="105"/>
      <x:c r="AB34" s="105"/>
      <x:c r="AC34" s="105"/>
      <x:c r="AD34" s="105"/>
      <x:c r="AE34" s="105"/>
      <x:c r="AF34" s="105"/>
      <x:c r="AG34" s="105"/>
      <x:c r="AH34" s="105"/>
      <x:c r="AI34" s="105"/>
      <x:c r="AJ34" s="106" t="str">
        <x:f>IF(OR(AK34="",'設定'!$B$4=""),"",AK34*'設定'!$B$4)</x:f>
      </x:c>
      <x:c r="AK34" s="106" t="str">
        <x:f>IF(OR(AH34="",AI34=""),"",AH34+AI34)</x:f>
      </x:c>
      <x:c r="AL34" s="106" t="str">
        <x:f>IF(OR(A34="",V34="",AK34="",AJ34=""),"",SUM(V34,Z34:AG34,AJ34))</x:f>
      </x:c>
      <x:c r="AM34" s="106" t="str">
        <x:f>IF(OR(AK34="",AL34=""),"",AK34-AL34)</x:f>
      </x:c>
      <x:c r="AN34" s="104" t="str">
        <x:f>IF(A34="","",IF(OR(V34="",Q34="",R34="",S34="",E34="",AK34="",AJ34=""),"STOP: 必須未確認",IF(AM34&lt;=0,"STOP: 利益なし","要承認")))</x:f>
      </x:c>
      <x:c r="AO34" s="105"/>
      <x:c r="AP34" s="105"/>
      <x:c r="AQ34" s="106" t="str">
        <x:f>IF(OR(A34="",AO34="",AP34=""),"",AO34-AP34)</x:f>
      </x:c>
      <x:c r="AR34" s="103"/>
      <x:c r="AS34" s="103"/>
      <x:c r="AT34" s="103"/>
      <x:c r="AU34" s="103"/>
      <x:c r="AV34" s="103"/>
      <x:c r="AW34" s="103"/>
      <x:c r="AX34" s="107"/>
      <x:c r="AY34" s="103"/>
      <x:c r="AZ34" s="103"/>
      <x:c r="BA34" s="103"/>
      <x:c r="BB34" s="103"/>
      <x:c r="BC34" s="107"/>
      <x:c r="BD34" s="107"/>
      <x:c r="BE34" s="107"/>
      <x:c r="BF34" s="107"/>
      <x:c r="BG34" s="103"/>
    </x:row>
    <x:row r="35" ht="20" customHeight="1">
      <x:c r="A35" s="103"/>
      <x:c r="B35" s="103"/>
      <x:c r="C35" s="103"/>
      <x:c r="D35" s="107"/>
      <x:c r="E35" s="103"/>
      <x:c r="F35" s="103"/>
      <x:c r="G35" s="107"/>
      <x:c r="H35" s="103"/>
      <x:c r="I35" s="103"/>
      <x:c r="J35" s="103"/>
      <x:c r="K35" s="103"/>
      <x:c r="L35" s="103"/>
      <x:c r="M35" s="103"/>
      <x:c r="N35" s="103"/>
      <x:c r="O35" s="103"/>
      <x:c r="P35" s="103"/>
      <x:c r="Q35" s="103"/>
      <x:c r="R35" s="103"/>
      <x:c r="S35" s="103"/>
      <x:c r="T35" s="103"/>
      <x:c r="U35" s="103"/>
      <x:c r="V35" s="105"/>
      <x:c r="W35" s="103"/>
      <x:c r="X35" s="103"/>
      <x:c r="Y35" s="107"/>
      <x:c r="Z35" s="105"/>
      <x:c r="AA35" s="105"/>
      <x:c r="AB35" s="105"/>
      <x:c r="AC35" s="105"/>
      <x:c r="AD35" s="105"/>
      <x:c r="AE35" s="105"/>
      <x:c r="AF35" s="105"/>
      <x:c r="AG35" s="105"/>
      <x:c r="AH35" s="105"/>
      <x:c r="AI35" s="105"/>
      <x:c r="AJ35" s="106" t="str">
        <x:f>IF(OR(AK35="",'設定'!$B$4=""),"",AK35*'設定'!$B$4)</x:f>
      </x:c>
      <x:c r="AK35" s="106" t="str">
        <x:f>IF(OR(AH35="",AI35=""),"",AH35+AI35)</x:f>
      </x:c>
      <x:c r="AL35" s="106" t="str">
        <x:f>IF(OR(A35="",V35="",AK35="",AJ35=""),"",SUM(V35,Z35:AG35,AJ35))</x:f>
      </x:c>
      <x:c r="AM35" s="106" t="str">
        <x:f>IF(OR(AK35="",AL35=""),"",AK35-AL35)</x:f>
      </x:c>
      <x:c r="AN35" s="104" t="str">
        <x:f>IF(A35="","",IF(OR(V35="",Q35="",R35="",S35="",E35="",AK35="",AJ35=""),"STOP: 必須未確認",IF(AM35&lt;=0,"STOP: 利益なし","要承認")))</x:f>
      </x:c>
      <x:c r="AO35" s="105"/>
      <x:c r="AP35" s="105"/>
      <x:c r="AQ35" s="106" t="str">
        <x:f>IF(OR(A35="",AO35="",AP35=""),"",AO35-AP35)</x:f>
      </x:c>
      <x:c r="AR35" s="103"/>
      <x:c r="AS35" s="103"/>
      <x:c r="AT35" s="103"/>
      <x:c r="AU35" s="103"/>
      <x:c r="AV35" s="103"/>
      <x:c r="AW35" s="103"/>
      <x:c r="AX35" s="107"/>
      <x:c r="AY35" s="103"/>
      <x:c r="AZ35" s="103"/>
      <x:c r="BA35" s="103"/>
      <x:c r="BB35" s="103"/>
      <x:c r="BC35" s="107"/>
      <x:c r="BD35" s="107"/>
      <x:c r="BE35" s="107"/>
      <x:c r="BF35" s="107"/>
      <x:c r="BG35" s="103"/>
    </x:row>
    <x:row r="36" ht="20" customHeight="1">
      <x:c r="A36" s="103"/>
      <x:c r="B36" s="103"/>
      <x:c r="C36" s="103"/>
      <x:c r="D36" s="107"/>
      <x:c r="E36" s="103"/>
      <x:c r="F36" s="103"/>
      <x:c r="G36" s="107"/>
      <x:c r="H36" s="103"/>
      <x:c r="I36" s="103"/>
      <x:c r="J36" s="103"/>
      <x:c r="K36" s="103"/>
      <x:c r="L36" s="103"/>
      <x:c r="M36" s="103"/>
      <x:c r="N36" s="103"/>
      <x:c r="O36" s="103"/>
      <x:c r="P36" s="103"/>
      <x:c r="Q36" s="103"/>
      <x:c r="R36" s="103"/>
      <x:c r="S36" s="103"/>
      <x:c r="T36" s="103"/>
      <x:c r="U36" s="103"/>
      <x:c r="V36" s="105"/>
      <x:c r="W36" s="103"/>
      <x:c r="X36" s="103"/>
      <x:c r="Y36" s="107"/>
      <x:c r="Z36" s="105"/>
      <x:c r="AA36" s="105"/>
      <x:c r="AB36" s="105"/>
      <x:c r="AC36" s="105"/>
      <x:c r="AD36" s="105"/>
      <x:c r="AE36" s="105"/>
      <x:c r="AF36" s="105"/>
      <x:c r="AG36" s="105"/>
      <x:c r="AH36" s="105"/>
      <x:c r="AI36" s="105"/>
      <x:c r="AJ36" s="106" t="str">
        <x:f>IF(OR(AK36="",'設定'!$B$4=""),"",AK36*'設定'!$B$4)</x:f>
      </x:c>
      <x:c r="AK36" s="106" t="str">
        <x:f>IF(OR(AH36="",AI36=""),"",AH36+AI36)</x:f>
      </x:c>
      <x:c r="AL36" s="106" t="str">
        <x:f>IF(OR(A36="",V36="",AK36="",AJ36=""),"",SUM(V36,Z36:AG36,AJ36))</x:f>
      </x:c>
      <x:c r="AM36" s="106" t="str">
        <x:f>IF(OR(AK36="",AL36=""),"",AK36-AL36)</x:f>
      </x:c>
      <x:c r="AN36" s="104" t="str">
        <x:f>IF(A36="","",IF(OR(V36="",Q36="",R36="",S36="",E36="",AK36="",AJ36=""),"STOP: 必須未確認",IF(AM36&lt;=0,"STOP: 利益なし","要承認")))</x:f>
      </x:c>
      <x:c r="AO36" s="105"/>
      <x:c r="AP36" s="105"/>
      <x:c r="AQ36" s="106" t="str">
        <x:f>IF(OR(A36="",AO36="",AP36=""),"",AO36-AP36)</x:f>
      </x:c>
      <x:c r="AR36" s="103"/>
      <x:c r="AS36" s="103"/>
      <x:c r="AT36" s="103"/>
      <x:c r="AU36" s="103"/>
      <x:c r="AV36" s="103"/>
      <x:c r="AW36" s="103"/>
      <x:c r="AX36" s="107"/>
      <x:c r="AY36" s="103"/>
      <x:c r="AZ36" s="103"/>
      <x:c r="BA36" s="103"/>
      <x:c r="BB36" s="103"/>
      <x:c r="BC36" s="107"/>
      <x:c r="BD36" s="107"/>
      <x:c r="BE36" s="107"/>
      <x:c r="BF36" s="107"/>
      <x:c r="BG36" s="103"/>
    </x:row>
    <x:row r="37" ht="20" customHeight="1">
      <x:c r="A37" s="103"/>
      <x:c r="B37" s="103"/>
      <x:c r="C37" s="103"/>
      <x:c r="D37" s="107"/>
      <x:c r="E37" s="103"/>
      <x:c r="F37" s="103"/>
      <x:c r="G37" s="107"/>
      <x:c r="H37" s="103"/>
      <x:c r="I37" s="103"/>
      <x:c r="J37" s="103"/>
      <x:c r="K37" s="103"/>
      <x:c r="L37" s="103"/>
      <x:c r="M37" s="103"/>
      <x:c r="N37" s="103"/>
      <x:c r="O37" s="103"/>
      <x:c r="P37" s="103"/>
      <x:c r="Q37" s="103"/>
      <x:c r="R37" s="103"/>
      <x:c r="S37" s="103"/>
      <x:c r="T37" s="103"/>
      <x:c r="U37" s="103"/>
      <x:c r="V37" s="105"/>
      <x:c r="W37" s="103"/>
      <x:c r="X37" s="103"/>
      <x:c r="Y37" s="107"/>
      <x:c r="Z37" s="105"/>
      <x:c r="AA37" s="105"/>
      <x:c r="AB37" s="105"/>
      <x:c r="AC37" s="105"/>
      <x:c r="AD37" s="105"/>
      <x:c r="AE37" s="105"/>
      <x:c r="AF37" s="105"/>
      <x:c r="AG37" s="105"/>
      <x:c r="AH37" s="105"/>
      <x:c r="AI37" s="105"/>
      <x:c r="AJ37" s="106" t="str">
        <x:f>IF(OR(AK37="",'設定'!$B$4=""),"",AK37*'設定'!$B$4)</x:f>
      </x:c>
      <x:c r="AK37" s="106" t="str">
        <x:f>IF(OR(AH37="",AI37=""),"",AH37+AI37)</x:f>
      </x:c>
      <x:c r="AL37" s="106" t="str">
        <x:f>IF(OR(A37="",V37="",AK37="",AJ37=""),"",SUM(V37,Z37:AG37,AJ37))</x:f>
      </x:c>
      <x:c r="AM37" s="106" t="str">
        <x:f>IF(OR(AK37="",AL37=""),"",AK37-AL37)</x:f>
      </x:c>
      <x:c r="AN37" s="104" t="str">
        <x:f>IF(A37="","",IF(OR(V37="",Q37="",R37="",S37="",E37="",AK37="",AJ37=""),"STOP: 必須未確認",IF(AM37&lt;=0,"STOP: 利益なし","要承認")))</x:f>
      </x:c>
      <x:c r="AO37" s="105"/>
      <x:c r="AP37" s="105"/>
      <x:c r="AQ37" s="106" t="str">
        <x:f>IF(OR(A37="",AO37="",AP37=""),"",AO37-AP37)</x:f>
      </x:c>
      <x:c r="AR37" s="103"/>
      <x:c r="AS37" s="103"/>
      <x:c r="AT37" s="103"/>
      <x:c r="AU37" s="103"/>
      <x:c r="AV37" s="103"/>
      <x:c r="AW37" s="103"/>
      <x:c r="AX37" s="107"/>
      <x:c r="AY37" s="103"/>
      <x:c r="AZ37" s="103"/>
      <x:c r="BA37" s="103"/>
      <x:c r="BB37" s="103"/>
      <x:c r="BC37" s="107"/>
      <x:c r="BD37" s="107"/>
      <x:c r="BE37" s="107"/>
      <x:c r="BF37" s="107"/>
      <x:c r="BG37" s="103"/>
    </x:row>
    <x:row r="38" ht="20" customHeight="1">
      <x:c r="A38" s="103"/>
      <x:c r="B38" s="103"/>
      <x:c r="C38" s="103"/>
      <x:c r="D38" s="107"/>
      <x:c r="E38" s="103"/>
      <x:c r="F38" s="103"/>
      <x:c r="G38" s="107"/>
      <x:c r="H38" s="103"/>
      <x:c r="I38" s="103"/>
      <x:c r="J38" s="103"/>
      <x:c r="K38" s="103"/>
      <x:c r="L38" s="103"/>
      <x:c r="M38" s="103"/>
      <x:c r="N38" s="103"/>
      <x:c r="O38" s="103"/>
      <x:c r="P38" s="103"/>
      <x:c r="Q38" s="103"/>
      <x:c r="R38" s="103"/>
      <x:c r="S38" s="103"/>
      <x:c r="T38" s="103"/>
      <x:c r="U38" s="103"/>
      <x:c r="V38" s="105"/>
      <x:c r="W38" s="103"/>
      <x:c r="X38" s="103"/>
      <x:c r="Y38" s="107"/>
      <x:c r="Z38" s="105"/>
      <x:c r="AA38" s="105"/>
      <x:c r="AB38" s="105"/>
      <x:c r="AC38" s="105"/>
      <x:c r="AD38" s="105"/>
      <x:c r="AE38" s="105"/>
      <x:c r="AF38" s="105"/>
      <x:c r="AG38" s="105"/>
      <x:c r="AH38" s="105"/>
      <x:c r="AI38" s="105"/>
      <x:c r="AJ38" s="106" t="str">
        <x:f>IF(OR(AK38="",'設定'!$B$4=""),"",AK38*'設定'!$B$4)</x:f>
      </x:c>
      <x:c r="AK38" s="106" t="str">
        <x:f>IF(OR(AH38="",AI38=""),"",AH38+AI38)</x:f>
      </x:c>
      <x:c r="AL38" s="106" t="str">
        <x:f>IF(OR(A38="",V38="",AK38="",AJ38=""),"",SUM(V38,Z38:AG38,AJ38))</x:f>
      </x:c>
      <x:c r="AM38" s="106" t="str">
        <x:f>IF(OR(AK38="",AL38=""),"",AK38-AL38)</x:f>
      </x:c>
      <x:c r="AN38" s="104" t="str">
        <x:f>IF(A38="","",IF(OR(V38="",Q38="",R38="",S38="",E38="",AK38="",AJ38=""),"STOP: 必須未確認",IF(AM38&lt;=0,"STOP: 利益なし","要承認")))</x:f>
      </x:c>
      <x:c r="AO38" s="105"/>
      <x:c r="AP38" s="105"/>
      <x:c r="AQ38" s="106" t="str">
        <x:f>IF(OR(A38="",AO38="",AP38=""),"",AO38-AP38)</x:f>
      </x:c>
      <x:c r="AR38" s="103"/>
      <x:c r="AS38" s="103"/>
      <x:c r="AT38" s="103"/>
      <x:c r="AU38" s="103"/>
      <x:c r="AV38" s="103"/>
      <x:c r="AW38" s="103"/>
      <x:c r="AX38" s="107"/>
      <x:c r="AY38" s="103"/>
      <x:c r="AZ38" s="103"/>
      <x:c r="BA38" s="103"/>
      <x:c r="BB38" s="103"/>
      <x:c r="BC38" s="107"/>
      <x:c r="BD38" s="107"/>
      <x:c r="BE38" s="107"/>
      <x:c r="BF38" s="107"/>
      <x:c r="BG38" s="103"/>
    </x:row>
    <x:row r="39" ht="20" customHeight="1">
      <x:c r="A39" s="103"/>
      <x:c r="B39" s="103"/>
      <x:c r="C39" s="103"/>
      <x:c r="D39" s="107"/>
      <x:c r="E39" s="103"/>
      <x:c r="F39" s="103"/>
      <x:c r="G39" s="107"/>
      <x:c r="H39" s="103"/>
      <x:c r="I39" s="103"/>
      <x:c r="J39" s="103"/>
      <x:c r="K39" s="103"/>
      <x:c r="L39" s="103"/>
      <x:c r="M39" s="103"/>
      <x:c r="N39" s="103"/>
      <x:c r="O39" s="103"/>
      <x:c r="P39" s="103"/>
      <x:c r="Q39" s="103"/>
      <x:c r="R39" s="103"/>
      <x:c r="S39" s="103"/>
      <x:c r="T39" s="103"/>
      <x:c r="U39" s="103"/>
      <x:c r="V39" s="105"/>
      <x:c r="W39" s="103"/>
      <x:c r="X39" s="103"/>
      <x:c r="Y39" s="107"/>
      <x:c r="Z39" s="105"/>
      <x:c r="AA39" s="105"/>
      <x:c r="AB39" s="105"/>
      <x:c r="AC39" s="105"/>
      <x:c r="AD39" s="105"/>
      <x:c r="AE39" s="105"/>
      <x:c r="AF39" s="105"/>
      <x:c r="AG39" s="105"/>
      <x:c r="AH39" s="105"/>
      <x:c r="AI39" s="105"/>
      <x:c r="AJ39" s="106" t="str">
        <x:f>IF(OR(AK39="",'設定'!$B$4=""),"",AK39*'設定'!$B$4)</x:f>
      </x:c>
      <x:c r="AK39" s="106" t="str">
        <x:f>IF(OR(AH39="",AI39=""),"",AH39+AI39)</x:f>
      </x:c>
      <x:c r="AL39" s="106" t="str">
        <x:f>IF(OR(A39="",V39="",AK39="",AJ39=""),"",SUM(V39,Z39:AG39,AJ39))</x:f>
      </x:c>
      <x:c r="AM39" s="106" t="str">
        <x:f>IF(OR(AK39="",AL39=""),"",AK39-AL39)</x:f>
      </x:c>
      <x:c r="AN39" s="104" t="str">
        <x:f>IF(A39="","",IF(OR(V39="",Q39="",R39="",S39="",E39="",AK39="",AJ39=""),"STOP: 必須未確認",IF(AM39&lt;=0,"STOP: 利益なし","要承認")))</x:f>
      </x:c>
      <x:c r="AO39" s="105"/>
      <x:c r="AP39" s="105"/>
      <x:c r="AQ39" s="106" t="str">
        <x:f>IF(OR(A39="",AO39="",AP39=""),"",AO39-AP39)</x:f>
      </x:c>
      <x:c r="AR39" s="103"/>
      <x:c r="AS39" s="103"/>
      <x:c r="AT39" s="103"/>
      <x:c r="AU39" s="103"/>
      <x:c r="AV39" s="103"/>
      <x:c r="AW39" s="103"/>
      <x:c r="AX39" s="107"/>
      <x:c r="AY39" s="103"/>
      <x:c r="AZ39" s="103"/>
      <x:c r="BA39" s="103"/>
      <x:c r="BB39" s="103"/>
      <x:c r="BC39" s="107"/>
      <x:c r="BD39" s="107"/>
      <x:c r="BE39" s="107"/>
      <x:c r="BF39" s="107"/>
      <x:c r="BG39" s="103"/>
    </x:row>
    <x:row r="40" ht="20" customHeight="1">
      <x:c r="A40" s="103"/>
      <x:c r="B40" s="103"/>
      <x:c r="C40" s="103"/>
      <x:c r="D40" s="107"/>
      <x:c r="E40" s="103"/>
      <x:c r="F40" s="103"/>
      <x:c r="G40" s="107"/>
      <x:c r="H40" s="103"/>
      <x:c r="I40" s="103"/>
      <x:c r="J40" s="103"/>
      <x:c r="K40" s="103"/>
      <x:c r="L40" s="103"/>
      <x:c r="M40" s="103"/>
      <x:c r="N40" s="103"/>
      <x:c r="O40" s="103"/>
      <x:c r="P40" s="103"/>
      <x:c r="Q40" s="103"/>
      <x:c r="R40" s="103"/>
      <x:c r="S40" s="103"/>
      <x:c r="T40" s="103"/>
      <x:c r="U40" s="103"/>
      <x:c r="V40" s="105"/>
      <x:c r="W40" s="103"/>
      <x:c r="X40" s="103"/>
      <x:c r="Y40" s="107"/>
      <x:c r="Z40" s="105"/>
      <x:c r="AA40" s="105"/>
      <x:c r="AB40" s="105"/>
      <x:c r="AC40" s="105"/>
      <x:c r="AD40" s="105"/>
      <x:c r="AE40" s="105"/>
      <x:c r="AF40" s="105"/>
      <x:c r="AG40" s="105"/>
      <x:c r="AH40" s="105"/>
      <x:c r="AI40" s="105"/>
      <x:c r="AJ40" s="106" t="str">
        <x:f>IF(OR(AK40="",'設定'!$B$4=""),"",AK40*'設定'!$B$4)</x:f>
      </x:c>
      <x:c r="AK40" s="106" t="str">
        <x:f>IF(OR(AH40="",AI40=""),"",AH40+AI40)</x:f>
      </x:c>
      <x:c r="AL40" s="106" t="str">
        <x:f>IF(OR(A40="",V40="",AK40="",AJ40=""),"",SUM(V40,Z40:AG40,AJ40))</x:f>
      </x:c>
      <x:c r="AM40" s="106" t="str">
        <x:f>IF(OR(AK40="",AL40=""),"",AK40-AL40)</x:f>
      </x:c>
      <x:c r="AN40" s="104" t="str">
        <x:f>IF(A40="","",IF(OR(V40="",Q40="",R40="",S40="",E40="",AK40="",AJ40=""),"STOP: 必須未確認",IF(AM40&lt;=0,"STOP: 利益なし","要承認")))</x:f>
      </x:c>
      <x:c r="AO40" s="105"/>
      <x:c r="AP40" s="105"/>
      <x:c r="AQ40" s="106" t="str">
        <x:f>IF(OR(A40="",AO40="",AP40=""),"",AO40-AP40)</x:f>
      </x:c>
      <x:c r="AR40" s="103"/>
      <x:c r="AS40" s="103"/>
      <x:c r="AT40" s="103"/>
      <x:c r="AU40" s="103"/>
      <x:c r="AV40" s="103"/>
      <x:c r="AW40" s="103"/>
      <x:c r="AX40" s="107"/>
      <x:c r="AY40" s="103"/>
      <x:c r="AZ40" s="103"/>
      <x:c r="BA40" s="103"/>
      <x:c r="BB40" s="103"/>
      <x:c r="BC40" s="107"/>
      <x:c r="BD40" s="107"/>
      <x:c r="BE40" s="107"/>
      <x:c r="BF40" s="107"/>
      <x:c r="BG40" s="103"/>
    </x:row>
    <x:row r="41" ht="20" customHeight="1">
      <x:c r="A41" s="103"/>
      <x:c r="B41" s="103"/>
      <x:c r="C41" s="103"/>
      <x:c r="D41" s="107"/>
      <x:c r="E41" s="103"/>
      <x:c r="F41" s="103"/>
      <x:c r="G41" s="107"/>
      <x:c r="H41" s="103"/>
      <x:c r="I41" s="103"/>
      <x:c r="J41" s="103"/>
      <x:c r="K41" s="103"/>
      <x:c r="L41" s="103"/>
      <x:c r="M41" s="103"/>
      <x:c r="N41" s="103"/>
      <x:c r="O41" s="103"/>
      <x:c r="P41" s="103"/>
      <x:c r="Q41" s="103"/>
      <x:c r="R41" s="103"/>
      <x:c r="S41" s="103"/>
      <x:c r="T41" s="103"/>
      <x:c r="U41" s="103"/>
      <x:c r="V41" s="105"/>
      <x:c r="W41" s="103"/>
      <x:c r="X41" s="103"/>
      <x:c r="Y41" s="107"/>
      <x:c r="Z41" s="105"/>
      <x:c r="AA41" s="105"/>
      <x:c r="AB41" s="105"/>
      <x:c r="AC41" s="105"/>
      <x:c r="AD41" s="105"/>
      <x:c r="AE41" s="105"/>
      <x:c r="AF41" s="105"/>
      <x:c r="AG41" s="105"/>
      <x:c r="AH41" s="105"/>
      <x:c r="AI41" s="105"/>
      <x:c r="AJ41" s="106" t="str">
        <x:f>IF(OR(AK41="",'設定'!$B$4=""),"",AK41*'設定'!$B$4)</x:f>
      </x:c>
      <x:c r="AK41" s="106" t="str">
        <x:f>IF(OR(AH41="",AI41=""),"",AH41+AI41)</x:f>
      </x:c>
      <x:c r="AL41" s="106" t="str">
        <x:f>IF(OR(A41="",V41="",AK41="",AJ41=""),"",SUM(V41,Z41:AG41,AJ41))</x:f>
      </x:c>
      <x:c r="AM41" s="106" t="str">
        <x:f>IF(OR(AK41="",AL41=""),"",AK41-AL41)</x:f>
      </x:c>
      <x:c r="AN41" s="104" t="str">
        <x:f>IF(A41="","",IF(OR(V41="",Q41="",R41="",S41="",E41="",AK41="",AJ41=""),"STOP: 必須未確認",IF(AM41&lt;=0,"STOP: 利益なし","要承認")))</x:f>
      </x:c>
      <x:c r="AO41" s="105"/>
      <x:c r="AP41" s="105"/>
      <x:c r="AQ41" s="106" t="str">
        <x:f>IF(OR(A41="",AO41="",AP41=""),"",AO41-AP41)</x:f>
      </x:c>
      <x:c r="AR41" s="103"/>
      <x:c r="AS41" s="103"/>
      <x:c r="AT41" s="103"/>
      <x:c r="AU41" s="103"/>
      <x:c r="AV41" s="103"/>
      <x:c r="AW41" s="103"/>
      <x:c r="AX41" s="107"/>
      <x:c r="AY41" s="103"/>
      <x:c r="AZ41" s="103"/>
      <x:c r="BA41" s="103"/>
      <x:c r="BB41" s="103"/>
      <x:c r="BC41" s="107"/>
      <x:c r="BD41" s="107"/>
      <x:c r="BE41" s="107"/>
      <x:c r="BF41" s="107"/>
      <x:c r="BG41" s="103"/>
    </x:row>
    <x:row r="42" ht="20" customHeight="1">
      <x:c r="A42" s="103"/>
      <x:c r="B42" s="103"/>
      <x:c r="C42" s="103"/>
      <x:c r="D42" s="107"/>
      <x:c r="E42" s="103"/>
      <x:c r="F42" s="103"/>
      <x:c r="G42" s="107"/>
      <x:c r="H42" s="103"/>
      <x:c r="I42" s="103"/>
      <x:c r="J42" s="103"/>
      <x:c r="K42" s="103"/>
      <x:c r="L42" s="103"/>
      <x:c r="M42" s="103"/>
      <x:c r="N42" s="103"/>
      <x:c r="O42" s="103"/>
      <x:c r="P42" s="103"/>
      <x:c r="Q42" s="103"/>
      <x:c r="R42" s="103"/>
      <x:c r="S42" s="103"/>
      <x:c r="T42" s="103"/>
      <x:c r="U42" s="103"/>
      <x:c r="V42" s="105"/>
      <x:c r="W42" s="103"/>
      <x:c r="X42" s="103"/>
      <x:c r="Y42" s="107"/>
      <x:c r="Z42" s="105"/>
      <x:c r="AA42" s="105"/>
      <x:c r="AB42" s="105"/>
      <x:c r="AC42" s="105"/>
      <x:c r="AD42" s="105"/>
      <x:c r="AE42" s="105"/>
      <x:c r="AF42" s="105"/>
      <x:c r="AG42" s="105"/>
      <x:c r="AH42" s="105"/>
      <x:c r="AI42" s="105"/>
      <x:c r="AJ42" s="106" t="str">
        <x:f>IF(OR(AK42="",'設定'!$B$4=""),"",AK42*'設定'!$B$4)</x:f>
      </x:c>
      <x:c r="AK42" s="106" t="str">
        <x:f>IF(OR(AH42="",AI42=""),"",AH42+AI42)</x:f>
      </x:c>
      <x:c r="AL42" s="106" t="str">
        <x:f>IF(OR(A42="",V42="",AK42="",AJ42=""),"",SUM(V42,Z42:AG42,AJ42))</x:f>
      </x:c>
      <x:c r="AM42" s="106" t="str">
        <x:f>IF(OR(AK42="",AL42=""),"",AK42-AL42)</x:f>
      </x:c>
      <x:c r="AN42" s="104" t="str">
        <x:f>IF(A42="","",IF(OR(V42="",Q42="",R42="",S42="",E42="",AK42="",AJ42=""),"STOP: 必須未確認",IF(AM42&lt;=0,"STOP: 利益なし","要承認")))</x:f>
      </x:c>
      <x:c r="AO42" s="105"/>
      <x:c r="AP42" s="105"/>
      <x:c r="AQ42" s="106" t="str">
        <x:f>IF(OR(A42="",AO42="",AP42=""),"",AO42-AP42)</x:f>
      </x:c>
      <x:c r="AR42" s="103"/>
      <x:c r="AS42" s="103"/>
      <x:c r="AT42" s="103"/>
      <x:c r="AU42" s="103"/>
      <x:c r="AV42" s="103"/>
      <x:c r="AW42" s="103"/>
      <x:c r="AX42" s="107"/>
      <x:c r="AY42" s="103"/>
      <x:c r="AZ42" s="103"/>
      <x:c r="BA42" s="103"/>
      <x:c r="BB42" s="103"/>
      <x:c r="BC42" s="107"/>
      <x:c r="BD42" s="107"/>
      <x:c r="BE42" s="107"/>
      <x:c r="BF42" s="107"/>
      <x:c r="BG42" s="103"/>
    </x:row>
    <x:row r="43" ht="20" customHeight="1">
      <x:c r="A43" s="103"/>
      <x:c r="B43" s="103"/>
      <x:c r="C43" s="103"/>
      <x:c r="D43" s="107"/>
      <x:c r="E43" s="103"/>
      <x:c r="F43" s="103"/>
      <x:c r="G43" s="107"/>
      <x:c r="H43" s="103"/>
      <x:c r="I43" s="103"/>
      <x:c r="J43" s="103"/>
      <x:c r="K43" s="103"/>
      <x:c r="L43" s="103"/>
      <x:c r="M43" s="103"/>
      <x:c r="N43" s="103"/>
      <x:c r="O43" s="103"/>
      <x:c r="P43" s="103"/>
      <x:c r="Q43" s="103"/>
      <x:c r="R43" s="103"/>
      <x:c r="S43" s="103"/>
      <x:c r="T43" s="103"/>
      <x:c r="U43" s="103"/>
      <x:c r="V43" s="105"/>
      <x:c r="W43" s="103"/>
      <x:c r="X43" s="103"/>
      <x:c r="Y43" s="107"/>
      <x:c r="Z43" s="105"/>
      <x:c r="AA43" s="105"/>
      <x:c r="AB43" s="105"/>
      <x:c r="AC43" s="105"/>
      <x:c r="AD43" s="105"/>
      <x:c r="AE43" s="105"/>
      <x:c r="AF43" s="105"/>
      <x:c r="AG43" s="105"/>
      <x:c r="AH43" s="105"/>
      <x:c r="AI43" s="105"/>
      <x:c r="AJ43" s="106" t="str">
        <x:f>IF(OR(AK43="",'設定'!$B$4=""),"",AK43*'設定'!$B$4)</x:f>
      </x:c>
      <x:c r="AK43" s="106" t="str">
        <x:f>IF(OR(AH43="",AI43=""),"",AH43+AI43)</x:f>
      </x:c>
      <x:c r="AL43" s="106" t="str">
        <x:f>IF(OR(A43="",V43="",AK43="",AJ43=""),"",SUM(V43,Z43:AG43,AJ43))</x:f>
      </x:c>
      <x:c r="AM43" s="106" t="str">
        <x:f>IF(OR(AK43="",AL43=""),"",AK43-AL43)</x:f>
      </x:c>
      <x:c r="AN43" s="104" t="str">
        <x:f>IF(A43="","",IF(OR(V43="",Q43="",R43="",S43="",E43="",AK43="",AJ43=""),"STOP: 必須未確認",IF(AM43&lt;=0,"STOP: 利益なし","要承認")))</x:f>
      </x:c>
      <x:c r="AO43" s="105"/>
      <x:c r="AP43" s="105"/>
      <x:c r="AQ43" s="106" t="str">
        <x:f>IF(OR(A43="",AO43="",AP43=""),"",AO43-AP43)</x:f>
      </x:c>
      <x:c r="AR43" s="103"/>
      <x:c r="AS43" s="103"/>
      <x:c r="AT43" s="103"/>
      <x:c r="AU43" s="103"/>
      <x:c r="AV43" s="103"/>
      <x:c r="AW43" s="103"/>
      <x:c r="AX43" s="107"/>
      <x:c r="AY43" s="103"/>
      <x:c r="AZ43" s="103"/>
      <x:c r="BA43" s="103"/>
      <x:c r="BB43" s="103"/>
      <x:c r="BC43" s="107"/>
      <x:c r="BD43" s="107"/>
      <x:c r="BE43" s="107"/>
      <x:c r="BF43" s="107"/>
      <x:c r="BG43" s="103"/>
    </x:row>
    <x:row r="44" ht="20" customHeight="1">
      <x:c r="A44" s="103"/>
      <x:c r="B44" s="103"/>
      <x:c r="C44" s="103"/>
      <x:c r="D44" s="107"/>
      <x:c r="E44" s="103"/>
      <x:c r="F44" s="103"/>
      <x:c r="G44" s="107"/>
      <x:c r="H44" s="103"/>
      <x:c r="I44" s="103"/>
      <x:c r="J44" s="103"/>
      <x:c r="K44" s="103"/>
      <x:c r="L44" s="103"/>
      <x:c r="M44" s="103"/>
      <x:c r="N44" s="103"/>
      <x:c r="O44" s="103"/>
      <x:c r="P44" s="103"/>
      <x:c r="Q44" s="103"/>
      <x:c r="R44" s="103"/>
      <x:c r="S44" s="103"/>
      <x:c r="T44" s="103"/>
      <x:c r="U44" s="103"/>
      <x:c r="V44" s="105"/>
      <x:c r="W44" s="103"/>
      <x:c r="X44" s="103"/>
      <x:c r="Y44" s="107"/>
      <x:c r="Z44" s="105"/>
      <x:c r="AA44" s="105"/>
      <x:c r="AB44" s="105"/>
      <x:c r="AC44" s="105"/>
      <x:c r="AD44" s="105"/>
      <x:c r="AE44" s="105"/>
      <x:c r="AF44" s="105"/>
      <x:c r="AG44" s="105"/>
      <x:c r="AH44" s="105"/>
      <x:c r="AI44" s="105"/>
      <x:c r="AJ44" s="106" t="str">
        <x:f>IF(OR(AK44="",'設定'!$B$4=""),"",AK44*'設定'!$B$4)</x:f>
      </x:c>
      <x:c r="AK44" s="106" t="str">
        <x:f>IF(OR(AH44="",AI44=""),"",AH44+AI44)</x:f>
      </x:c>
      <x:c r="AL44" s="106" t="str">
        <x:f>IF(OR(A44="",V44="",AK44="",AJ44=""),"",SUM(V44,Z44:AG44,AJ44))</x:f>
      </x:c>
      <x:c r="AM44" s="106" t="str">
        <x:f>IF(OR(AK44="",AL44=""),"",AK44-AL44)</x:f>
      </x:c>
      <x:c r="AN44" s="104" t="str">
        <x:f>IF(A44="","",IF(OR(V44="",Q44="",R44="",S44="",E44="",AK44="",AJ44=""),"STOP: 必須未確認",IF(AM44&lt;=0,"STOP: 利益なし","要承認")))</x:f>
      </x:c>
      <x:c r="AO44" s="105"/>
      <x:c r="AP44" s="105"/>
      <x:c r="AQ44" s="106" t="str">
        <x:f>IF(OR(A44="",AO44="",AP44=""),"",AO44-AP44)</x:f>
      </x:c>
      <x:c r="AR44" s="103"/>
      <x:c r="AS44" s="103"/>
      <x:c r="AT44" s="103"/>
      <x:c r="AU44" s="103"/>
      <x:c r="AV44" s="103"/>
      <x:c r="AW44" s="103"/>
      <x:c r="AX44" s="107"/>
      <x:c r="AY44" s="103"/>
      <x:c r="AZ44" s="103"/>
      <x:c r="BA44" s="103"/>
      <x:c r="BB44" s="103"/>
      <x:c r="BC44" s="107"/>
      <x:c r="BD44" s="107"/>
      <x:c r="BE44" s="107"/>
      <x:c r="BF44" s="107"/>
      <x:c r="BG44" s="103"/>
    </x:row>
    <x:row r="45" ht="20" customHeight="1">
      <x:c r="A45" s="103"/>
      <x:c r="B45" s="103"/>
      <x:c r="C45" s="103"/>
      <x:c r="D45" s="107"/>
      <x:c r="E45" s="103"/>
      <x:c r="F45" s="103"/>
      <x:c r="G45" s="107"/>
      <x:c r="H45" s="103"/>
      <x:c r="I45" s="103"/>
      <x:c r="J45" s="103"/>
      <x:c r="K45" s="103"/>
      <x:c r="L45" s="103"/>
      <x:c r="M45" s="103"/>
      <x:c r="N45" s="103"/>
      <x:c r="O45" s="103"/>
      <x:c r="P45" s="103"/>
      <x:c r="Q45" s="103"/>
      <x:c r="R45" s="103"/>
      <x:c r="S45" s="103"/>
      <x:c r="T45" s="103"/>
      <x:c r="U45" s="103"/>
      <x:c r="V45" s="105"/>
      <x:c r="W45" s="103"/>
      <x:c r="X45" s="103"/>
      <x:c r="Y45" s="107"/>
      <x:c r="Z45" s="105"/>
      <x:c r="AA45" s="105"/>
      <x:c r="AB45" s="105"/>
      <x:c r="AC45" s="105"/>
      <x:c r="AD45" s="105"/>
      <x:c r="AE45" s="105"/>
      <x:c r="AF45" s="105"/>
      <x:c r="AG45" s="105"/>
      <x:c r="AH45" s="105"/>
      <x:c r="AI45" s="105"/>
      <x:c r="AJ45" s="106" t="str">
        <x:f>IF(OR(AK45="",'設定'!$B$4=""),"",AK45*'設定'!$B$4)</x:f>
      </x:c>
      <x:c r="AK45" s="106" t="str">
        <x:f>IF(OR(AH45="",AI45=""),"",AH45+AI45)</x:f>
      </x:c>
      <x:c r="AL45" s="106" t="str">
        <x:f>IF(OR(A45="",V45="",AK45="",AJ45=""),"",SUM(V45,Z45:AG45,AJ45))</x:f>
      </x:c>
      <x:c r="AM45" s="106" t="str">
        <x:f>IF(OR(AK45="",AL45=""),"",AK45-AL45)</x:f>
      </x:c>
      <x:c r="AN45" s="104" t="str">
        <x:f>IF(A45="","",IF(OR(V45="",Q45="",R45="",S45="",E45="",AK45="",AJ45=""),"STOP: 必須未確認",IF(AM45&lt;=0,"STOP: 利益なし","要承認")))</x:f>
      </x:c>
      <x:c r="AO45" s="105"/>
      <x:c r="AP45" s="105"/>
      <x:c r="AQ45" s="106" t="str">
        <x:f>IF(OR(A45="",AO45="",AP45=""),"",AO45-AP45)</x:f>
      </x:c>
      <x:c r="AR45" s="103"/>
      <x:c r="AS45" s="103"/>
      <x:c r="AT45" s="103"/>
      <x:c r="AU45" s="103"/>
      <x:c r="AV45" s="103"/>
      <x:c r="AW45" s="103"/>
      <x:c r="AX45" s="107"/>
      <x:c r="AY45" s="103"/>
      <x:c r="AZ45" s="103"/>
      <x:c r="BA45" s="103"/>
      <x:c r="BB45" s="103"/>
      <x:c r="BC45" s="107"/>
      <x:c r="BD45" s="107"/>
      <x:c r="BE45" s="107"/>
      <x:c r="BF45" s="107"/>
      <x:c r="BG45" s="103"/>
    </x:row>
    <x:row r="46" ht="20" customHeight="1">
      <x:c r="A46" s="103"/>
      <x:c r="B46" s="103"/>
      <x:c r="C46" s="103"/>
      <x:c r="D46" s="107"/>
      <x:c r="E46" s="103"/>
      <x:c r="F46" s="103"/>
      <x:c r="G46" s="107"/>
      <x:c r="H46" s="103"/>
      <x:c r="I46" s="103"/>
      <x:c r="J46" s="103"/>
      <x:c r="K46" s="103"/>
      <x:c r="L46" s="103"/>
      <x:c r="M46" s="103"/>
      <x:c r="N46" s="103"/>
      <x:c r="O46" s="103"/>
      <x:c r="P46" s="103"/>
      <x:c r="Q46" s="103"/>
      <x:c r="R46" s="103"/>
      <x:c r="S46" s="103"/>
      <x:c r="T46" s="103"/>
      <x:c r="U46" s="103"/>
      <x:c r="V46" s="105"/>
      <x:c r="W46" s="103"/>
      <x:c r="X46" s="103"/>
      <x:c r="Y46" s="107"/>
      <x:c r="Z46" s="105"/>
      <x:c r="AA46" s="105"/>
      <x:c r="AB46" s="105"/>
      <x:c r="AC46" s="105"/>
      <x:c r="AD46" s="105"/>
      <x:c r="AE46" s="105"/>
      <x:c r="AF46" s="105"/>
      <x:c r="AG46" s="105"/>
      <x:c r="AH46" s="105"/>
      <x:c r="AI46" s="105"/>
      <x:c r="AJ46" s="106" t="str">
        <x:f>IF(OR(AK46="",'設定'!$B$4=""),"",AK46*'設定'!$B$4)</x:f>
      </x:c>
      <x:c r="AK46" s="106" t="str">
        <x:f>IF(OR(AH46="",AI46=""),"",AH46+AI46)</x:f>
      </x:c>
      <x:c r="AL46" s="106" t="str">
        <x:f>IF(OR(A46="",V46="",AK46="",AJ46=""),"",SUM(V46,Z46:AG46,AJ46))</x:f>
      </x:c>
      <x:c r="AM46" s="106" t="str">
        <x:f>IF(OR(AK46="",AL46=""),"",AK46-AL46)</x:f>
      </x:c>
      <x:c r="AN46" s="104" t="str">
        <x:f>IF(A46="","",IF(OR(V46="",Q46="",R46="",S46="",E46="",AK46="",AJ46=""),"STOP: 必須未確認",IF(AM46&lt;=0,"STOP: 利益なし","要承認")))</x:f>
      </x:c>
      <x:c r="AO46" s="105"/>
      <x:c r="AP46" s="105"/>
      <x:c r="AQ46" s="106" t="str">
        <x:f>IF(OR(A46="",AO46="",AP46=""),"",AO46-AP46)</x:f>
      </x:c>
      <x:c r="AR46" s="103"/>
      <x:c r="AS46" s="103"/>
      <x:c r="AT46" s="103"/>
      <x:c r="AU46" s="103"/>
      <x:c r="AV46" s="103"/>
      <x:c r="AW46" s="103"/>
      <x:c r="AX46" s="107"/>
      <x:c r="AY46" s="103"/>
      <x:c r="AZ46" s="103"/>
      <x:c r="BA46" s="103"/>
      <x:c r="BB46" s="103"/>
      <x:c r="BC46" s="107"/>
      <x:c r="BD46" s="107"/>
      <x:c r="BE46" s="107"/>
      <x:c r="BF46" s="107"/>
      <x:c r="BG46" s="103"/>
    </x:row>
    <x:row r="47" ht="20" customHeight="1">
      <x:c r="A47" s="103"/>
      <x:c r="B47" s="103"/>
      <x:c r="C47" s="103"/>
      <x:c r="D47" s="107"/>
      <x:c r="E47" s="103"/>
      <x:c r="F47" s="103"/>
      <x:c r="G47" s="107"/>
      <x:c r="H47" s="103"/>
      <x:c r="I47" s="103"/>
      <x:c r="J47" s="103"/>
      <x:c r="K47" s="103"/>
      <x:c r="L47" s="103"/>
      <x:c r="M47" s="103"/>
      <x:c r="N47" s="103"/>
      <x:c r="O47" s="103"/>
      <x:c r="P47" s="103"/>
      <x:c r="Q47" s="103"/>
      <x:c r="R47" s="103"/>
      <x:c r="S47" s="103"/>
      <x:c r="T47" s="103"/>
      <x:c r="U47" s="103"/>
      <x:c r="V47" s="105"/>
      <x:c r="W47" s="103"/>
      <x:c r="X47" s="103"/>
      <x:c r="Y47" s="107"/>
      <x:c r="Z47" s="105"/>
      <x:c r="AA47" s="105"/>
      <x:c r="AB47" s="105"/>
      <x:c r="AC47" s="105"/>
      <x:c r="AD47" s="105"/>
      <x:c r="AE47" s="105"/>
      <x:c r="AF47" s="105"/>
      <x:c r="AG47" s="105"/>
      <x:c r="AH47" s="105"/>
      <x:c r="AI47" s="105"/>
      <x:c r="AJ47" s="106" t="str">
        <x:f>IF(OR(AK47="",'設定'!$B$4=""),"",AK47*'設定'!$B$4)</x:f>
      </x:c>
      <x:c r="AK47" s="106" t="str">
        <x:f>IF(OR(AH47="",AI47=""),"",AH47+AI47)</x:f>
      </x:c>
      <x:c r="AL47" s="106" t="str">
        <x:f>IF(OR(A47="",V47="",AK47="",AJ47=""),"",SUM(V47,Z47:AG47,AJ47))</x:f>
      </x:c>
      <x:c r="AM47" s="106" t="str">
        <x:f>IF(OR(AK47="",AL47=""),"",AK47-AL47)</x:f>
      </x:c>
      <x:c r="AN47" s="104" t="str">
        <x:f>IF(A47="","",IF(OR(V47="",Q47="",R47="",S47="",E47="",AK47="",AJ47=""),"STOP: 必須未確認",IF(AM47&lt;=0,"STOP: 利益なし","要承認")))</x:f>
      </x:c>
      <x:c r="AO47" s="105"/>
      <x:c r="AP47" s="105"/>
      <x:c r="AQ47" s="106" t="str">
        <x:f>IF(OR(A47="",AO47="",AP47=""),"",AO47-AP47)</x:f>
      </x:c>
      <x:c r="AR47" s="103"/>
      <x:c r="AS47" s="103"/>
      <x:c r="AT47" s="103"/>
      <x:c r="AU47" s="103"/>
      <x:c r="AV47" s="103"/>
      <x:c r="AW47" s="103"/>
      <x:c r="AX47" s="107"/>
      <x:c r="AY47" s="103"/>
      <x:c r="AZ47" s="103"/>
      <x:c r="BA47" s="103"/>
      <x:c r="BB47" s="103"/>
      <x:c r="BC47" s="107"/>
      <x:c r="BD47" s="107"/>
      <x:c r="BE47" s="107"/>
      <x:c r="BF47" s="107"/>
      <x:c r="BG47" s="103"/>
    </x:row>
    <x:row r="48" ht="20" customHeight="1">
      <x:c r="A48" s="103"/>
      <x:c r="B48" s="103"/>
      <x:c r="C48" s="103"/>
      <x:c r="D48" s="107"/>
      <x:c r="E48" s="103"/>
      <x:c r="F48" s="103"/>
      <x:c r="G48" s="107"/>
      <x:c r="H48" s="103"/>
      <x:c r="I48" s="103"/>
      <x:c r="J48" s="103"/>
      <x:c r="K48" s="103"/>
      <x:c r="L48" s="103"/>
      <x:c r="M48" s="103"/>
      <x:c r="N48" s="103"/>
      <x:c r="O48" s="103"/>
      <x:c r="P48" s="103"/>
      <x:c r="Q48" s="103"/>
      <x:c r="R48" s="103"/>
      <x:c r="S48" s="103"/>
      <x:c r="T48" s="103"/>
      <x:c r="U48" s="103"/>
      <x:c r="V48" s="105"/>
      <x:c r="W48" s="103"/>
      <x:c r="X48" s="103"/>
      <x:c r="Y48" s="107"/>
      <x:c r="Z48" s="105"/>
      <x:c r="AA48" s="105"/>
      <x:c r="AB48" s="105"/>
      <x:c r="AC48" s="105"/>
      <x:c r="AD48" s="105"/>
      <x:c r="AE48" s="105"/>
      <x:c r="AF48" s="105"/>
      <x:c r="AG48" s="105"/>
      <x:c r="AH48" s="105"/>
      <x:c r="AI48" s="105"/>
      <x:c r="AJ48" s="106" t="str">
        <x:f>IF(OR(AK48="",'設定'!$B$4=""),"",AK48*'設定'!$B$4)</x:f>
      </x:c>
      <x:c r="AK48" s="106" t="str">
        <x:f>IF(OR(AH48="",AI48=""),"",AH48+AI48)</x:f>
      </x:c>
      <x:c r="AL48" s="106" t="str">
        <x:f>IF(OR(A48="",V48="",AK48="",AJ48=""),"",SUM(V48,Z48:AG48,AJ48))</x:f>
      </x:c>
      <x:c r="AM48" s="106" t="str">
        <x:f>IF(OR(AK48="",AL48=""),"",AK48-AL48)</x:f>
      </x:c>
      <x:c r="AN48" s="104" t="str">
        <x:f>IF(A48="","",IF(OR(V48="",Q48="",R48="",S48="",E48="",AK48="",AJ48=""),"STOP: 必須未確認",IF(AM48&lt;=0,"STOP: 利益なし","要承認")))</x:f>
      </x:c>
      <x:c r="AO48" s="105"/>
      <x:c r="AP48" s="105"/>
      <x:c r="AQ48" s="106" t="str">
        <x:f>IF(OR(A48="",AO48="",AP48=""),"",AO48-AP48)</x:f>
      </x:c>
      <x:c r="AR48" s="103"/>
      <x:c r="AS48" s="103"/>
      <x:c r="AT48" s="103"/>
      <x:c r="AU48" s="103"/>
      <x:c r="AV48" s="103"/>
      <x:c r="AW48" s="103"/>
      <x:c r="AX48" s="107"/>
      <x:c r="AY48" s="103"/>
      <x:c r="AZ48" s="103"/>
      <x:c r="BA48" s="103"/>
      <x:c r="BB48" s="103"/>
      <x:c r="BC48" s="107"/>
      <x:c r="BD48" s="107"/>
      <x:c r="BE48" s="107"/>
      <x:c r="BF48" s="107"/>
      <x:c r="BG48" s="103"/>
    </x:row>
    <x:row r="49" ht="20" customHeight="1">
      <x:c r="A49" s="103"/>
      <x:c r="B49" s="103"/>
      <x:c r="C49" s="103"/>
      <x:c r="D49" s="107"/>
      <x:c r="E49" s="103"/>
      <x:c r="F49" s="103"/>
      <x:c r="G49" s="107"/>
      <x:c r="H49" s="103"/>
      <x:c r="I49" s="103"/>
      <x:c r="J49" s="103"/>
      <x:c r="K49" s="103"/>
      <x:c r="L49" s="103"/>
      <x:c r="M49" s="103"/>
      <x:c r="N49" s="103"/>
      <x:c r="O49" s="103"/>
      <x:c r="P49" s="103"/>
      <x:c r="Q49" s="103"/>
      <x:c r="R49" s="103"/>
      <x:c r="S49" s="103"/>
      <x:c r="T49" s="103"/>
      <x:c r="U49" s="103"/>
      <x:c r="V49" s="105"/>
      <x:c r="W49" s="103"/>
      <x:c r="X49" s="103"/>
      <x:c r="Y49" s="107"/>
      <x:c r="Z49" s="105"/>
      <x:c r="AA49" s="105"/>
      <x:c r="AB49" s="105"/>
      <x:c r="AC49" s="105"/>
      <x:c r="AD49" s="105"/>
      <x:c r="AE49" s="105"/>
      <x:c r="AF49" s="105"/>
      <x:c r="AG49" s="105"/>
      <x:c r="AH49" s="105"/>
      <x:c r="AI49" s="105"/>
      <x:c r="AJ49" s="106" t="str">
        <x:f>IF(OR(AK49="",'設定'!$B$4=""),"",AK49*'設定'!$B$4)</x:f>
      </x:c>
      <x:c r="AK49" s="106" t="str">
        <x:f>IF(OR(AH49="",AI49=""),"",AH49+AI49)</x:f>
      </x:c>
      <x:c r="AL49" s="106" t="str">
        <x:f>IF(OR(A49="",V49="",AK49="",AJ49=""),"",SUM(V49,Z49:AG49,AJ49))</x:f>
      </x:c>
      <x:c r="AM49" s="106" t="str">
        <x:f>IF(OR(AK49="",AL49=""),"",AK49-AL49)</x:f>
      </x:c>
      <x:c r="AN49" s="104" t="str">
        <x:f>IF(A49="","",IF(OR(V49="",Q49="",R49="",S49="",E49="",AK49="",AJ49=""),"STOP: 必須未確認",IF(AM49&lt;=0,"STOP: 利益なし","要承認")))</x:f>
      </x:c>
      <x:c r="AO49" s="105"/>
      <x:c r="AP49" s="105"/>
      <x:c r="AQ49" s="106" t="str">
        <x:f>IF(OR(A49="",AO49="",AP49=""),"",AO49-AP49)</x:f>
      </x:c>
      <x:c r="AR49" s="103"/>
      <x:c r="AS49" s="103"/>
      <x:c r="AT49" s="103"/>
      <x:c r="AU49" s="103"/>
      <x:c r="AV49" s="103"/>
      <x:c r="AW49" s="103"/>
      <x:c r="AX49" s="107"/>
      <x:c r="AY49" s="103"/>
      <x:c r="AZ49" s="103"/>
      <x:c r="BA49" s="103"/>
      <x:c r="BB49" s="103"/>
      <x:c r="BC49" s="107"/>
      <x:c r="BD49" s="107"/>
      <x:c r="BE49" s="107"/>
      <x:c r="BF49" s="107"/>
      <x:c r="BG49" s="103"/>
    </x:row>
    <x:row r="50" ht="20" customHeight="1">
      <x:c r="A50" s="103"/>
      <x:c r="B50" s="103"/>
      <x:c r="C50" s="103"/>
      <x:c r="D50" s="107"/>
      <x:c r="E50" s="103"/>
      <x:c r="F50" s="103"/>
      <x:c r="G50" s="107"/>
      <x:c r="H50" s="103"/>
      <x:c r="I50" s="103"/>
      <x:c r="J50" s="103"/>
      <x:c r="K50" s="103"/>
      <x:c r="L50" s="103"/>
      <x:c r="M50" s="103"/>
      <x:c r="N50" s="103"/>
      <x:c r="O50" s="103"/>
      <x:c r="P50" s="103"/>
      <x:c r="Q50" s="103"/>
      <x:c r="R50" s="103"/>
      <x:c r="S50" s="103"/>
      <x:c r="T50" s="103"/>
      <x:c r="U50" s="103"/>
      <x:c r="V50" s="105"/>
      <x:c r="W50" s="103"/>
      <x:c r="X50" s="103"/>
      <x:c r="Y50" s="107"/>
      <x:c r="Z50" s="105"/>
      <x:c r="AA50" s="105"/>
      <x:c r="AB50" s="105"/>
      <x:c r="AC50" s="105"/>
      <x:c r="AD50" s="105"/>
      <x:c r="AE50" s="105"/>
      <x:c r="AF50" s="105"/>
      <x:c r="AG50" s="105"/>
      <x:c r="AH50" s="105"/>
      <x:c r="AI50" s="105"/>
      <x:c r="AJ50" s="106" t="str">
        <x:f>IF(OR(AK50="",'設定'!$B$4=""),"",AK50*'設定'!$B$4)</x:f>
      </x:c>
      <x:c r="AK50" s="106" t="str">
        <x:f>IF(OR(AH50="",AI50=""),"",AH50+AI50)</x:f>
      </x:c>
      <x:c r="AL50" s="106" t="str">
        <x:f>IF(OR(A50="",V50="",AK50="",AJ50=""),"",SUM(V50,Z50:AG50,AJ50))</x:f>
      </x:c>
      <x:c r="AM50" s="106" t="str">
        <x:f>IF(OR(AK50="",AL50=""),"",AK50-AL50)</x:f>
      </x:c>
      <x:c r="AN50" s="104" t="str">
        <x:f>IF(A50="","",IF(OR(V50="",Q50="",R50="",S50="",E50="",AK50="",AJ50=""),"STOP: 必須未確認",IF(AM50&lt;=0,"STOP: 利益なし","要承認")))</x:f>
      </x:c>
      <x:c r="AO50" s="105"/>
      <x:c r="AP50" s="105"/>
      <x:c r="AQ50" s="106" t="str">
        <x:f>IF(OR(A50="",AO50="",AP50=""),"",AO50-AP50)</x:f>
      </x:c>
      <x:c r="AR50" s="103"/>
      <x:c r="AS50" s="103"/>
      <x:c r="AT50" s="103"/>
      <x:c r="AU50" s="103"/>
      <x:c r="AV50" s="103"/>
      <x:c r="AW50" s="103"/>
      <x:c r="AX50" s="107"/>
      <x:c r="AY50" s="103"/>
      <x:c r="AZ50" s="103"/>
      <x:c r="BA50" s="103"/>
      <x:c r="BB50" s="103"/>
      <x:c r="BC50" s="107"/>
      <x:c r="BD50" s="107"/>
      <x:c r="BE50" s="107"/>
      <x:c r="BF50" s="107"/>
      <x:c r="BG50" s="103"/>
    </x:row>
    <x:row r="51" ht="20" customHeight="1">
      <x:c r="A51" s="103"/>
      <x:c r="B51" s="103"/>
      <x:c r="C51" s="103"/>
      <x:c r="D51" s="107"/>
      <x:c r="E51" s="103"/>
      <x:c r="F51" s="103"/>
      <x:c r="G51" s="107"/>
      <x:c r="H51" s="103"/>
      <x:c r="I51" s="103"/>
      <x:c r="J51" s="103"/>
      <x:c r="K51" s="103"/>
      <x:c r="L51" s="103"/>
      <x:c r="M51" s="103"/>
      <x:c r="N51" s="103"/>
      <x:c r="O51" s="103"/>
      <x:c r="P51" s="103"/>
      <x:c r="Q51" s="103"/>
      <x:c r="R51" s="103"/>
      <x:c r="S51" s="103"/>
      <x:c r="T51" s="103"/>
      <x:c r="U51" s="103"/>
      <x:c r="V51" s="105"/>
      <x:c r="W51" s="103"/>
      <x:c r="X51" s="103"/>
      <x:c r="Y51" s="107"/>
      <x:c r="Z51" s="105"/>
      <x:c r="AA51" s="105"/>
      <x:c r="AB51" s="105"/>
      <x:c r="AC51" s="105"/>
      <x:c r="AD51" s="105"/>
      <x:c r="AE51" s="105"/>
      <x:c r="AF51" s="105"/>
      <x:c r="AG51" s="105"/>
      <x:c r="AH51" s="105"/>
      <x:c r="AI51" s="105"/>
      <x:c r="AJ51" s="106" t="str">
        <x:f>IF(OR(AK51="",'設定'!$B$4=""),"",AK51*'設定'!$B$4)</x:f>
      </x:c>
      <x:c r="AK51" s="106" t="str">
        <x:f>IF(OR(AH51="",AI51=""),"",AH51+AI51)</x:f>
      </x:c>
      <x:c r="AL51" s="106" t="str">
        <x:f>IF(OR(A51="",V51="",AK51="",AJ51=""),"",SUM(V51,Z51:AG51,AJ51))</x:f>
      </x:c>
      <x:c r="AM51" s="106" t="str">
        <x:f>IF(OR(AK51="",AL51=""),"",AK51-AL51)</x:f>
      </x:c>
      <x:c r="AN51" s="104" t="str">
        <x:f>IF(A51="","",IF(OR(V51="",Q51="",R51="",S51="",E51="",AK51="",AJ51=""),"STOP: 必須未確認",IF(AM51&lt;=0,"STOP: 利益なし","要承認")))</x:f>
      </x:c>
      <x:c r="AO51" s="105"/>
      <x:c r="AP51" s="105"/>
      <x:c r="AQ51" s="106" t="str">
        <x:f>IF(OR(A51="",AO51="",AP51=""),"",AO51-AP51)</x:f>
      </x:c>
      <x:c r="AR51" s="103"/>
      <x:c r="AS51" s="103"/>
      <x:c r="AT51" s="103"/>
      <x:c r="AU51" s="103"/>
      <x:c r="AV51" s="103"/>
      <x:c r="AW51" s="103"/>
      <x:c r="AX51" s="107"/>
      <x:c r="AY51" s="103"/>
      <x:c r="AZ51" s="103"/>
      <x:c r="BA51" s="103"/>
      <x:c r="BB51" s="103"/>
      <x:c r="BC51" s="107"/>
      <x:c r="BD51" s="107"/>
      <x:c r="BE51" s="107"/>
      <x:c r="BF51" s="107"/>
      <x:c r="BG51" s="103"/>
    </x:row>
    <x:row r="52" ht="20" customHeight="1">
      <x:c r="A52" s="103"/>
      <x:c r="B52" s="103"/>
      <x:c r="C52" s="103"/>
      <x:c r="D52" s="107"/>
      <x:c r="E52" s="103"/>
      <x:c r="F52" s="103"/>
      <x:c r="G52" s="107"/>
      <x:c r="H52" s="103"/>
      <x:c r="I52" s="103"/>
      <x:c r="J52" s="103"/>
      <x:c r="K52" s="103"/>
      <x:c r="L52" s="103"/>
      <x:c r="M52" s="103"/>
      <x:c r="N52" s="103"/>
      <x:c r="O52" s="103"/>
      <x:c r="P52" s="103"/>
      <x:c r="Q52" s="103"/>
      <x:c r="R52" s="103"/>
      <x:c r="S52" s="103"/>
      <x:c r="T52" s="103"/>
      <x:c r="U52" s="103"/>
      <x:c r="V52" s="105"/>
      <x:c r="W52" s="103"/>
      <x:c r="X52" s="103"/>
      <x:c r="Y52" s="107"/>
      <x:c r="Z52" s="105"/>
      <x:c r="AA52" s="105"/>
      <x:c r="AB52" s="105"/>
      <x:c r="AC52" s="105"/>
      <x:c r="AD52" s="105"/>
      <x:c r="AE52" s="105"/>
      <x:c r="AF52" s="105"/>
      <x:c r="AG52" s="105"/>
      <x:c r="AH52" s="105"/>
      <x:c r="AI52" s="105"/>
      <x:c r="AJ52" s="106" t="str">
        <x:f>IF(OR(AK52="",'設定'!$B$4=""),"",AK52*'設定'!$B$4)</x:f>
      </x:c>
      <x:c r="AK52" s="106" t="str">
        <x:f>IF(OR(AH52="",AI52=""),"",AH52+AI52)</x:f>
      </x:c>
      <x:c r="AL52" s="106" t="str">
        <x:f>IF(OR(A52="",V52="",AK52="",AJ52=""),"",SUM(V52,Z52:AG52,AJ52))</x:f>
      </x:c>
      <x:c r="AM52" s="106" t="str">
        <x:f>IF(OR(AK52="",AL52=""),"",AK52-AL52)</x:f>
      </x:c>
      <x:c r="AN52" s="104" t="str">
        <x:f>IF(A52="","",IF(OR(V52="",Q52="",R52="",S52="",E52="",AK52="",AJ52=""),"STOP: 必須未確認",IF(AM52&lt;=0,"STOP: 利益なし","要承認")))</x:f>
      </x:c>
      <x:c r="AO52" s="105"/>
      <x:c r="AP52" s="105"/>
      <x:c r="AQ52" s="106" t="str">
        <x:f>IF(OR(A52="",AO52="",AP52=""),"",AO52-AP52)</x:f>
      </x:c>
      <x:c r="AR52" s="103"/>
      <x:c r="AS52" s="103"/>
      <x:c r="AT52" s="103"/>
      <x:c r="AU52" s="103"/>
      <x:c r="AV52" s="103"/>
      <x:c r="AW52" s="103"/>
      <x:c r="AX52" s="107"/>
      <x:c r="AY52" s="103"/>
      <x:c r="AZ52" s="103"/>
      <x:c r="BA52" s="103"/>
      <x:c r="BB52" s="103"/>
      <x:c r="BC52" s="107"/>
      <x:c r="BD52" s="107"/>
      <x:c r="BE52" s="107"/>
      <x:c r="BF52" s="107"/>
      <x:c r="BG52" s="103"/>
    </x:row>
    <x:row r="53" ht="20" customHeight="1">
      <x:c r="A53" s="103"/>
      <x:c r="B53" s="103"/>
      <x:c r="C53" s="103"/>
      <x:c r="D53" s="107"/>
      <x:c r="E53" s="103"/>
      <x:c r="F53" s="103"/>
      <x:c r="G53" s="107"/>
      <x:c r="H53" s="103"/>
      <x:c r="I53" s="103"/>
      <x:c r="J53" s="103"/>
      <x:c r="K53" s="103"/>
      <x:c r="L53" s="103"/>
      <x:c r="M53" s="103"/>
      <x:c r="N53" s="103"/>
      <x:c r="O53" s="103"/>
      <x:c r="P53" s="103"/>
      <x:c r="Q53" s="103"/>
      <x:c r="R53" s="103"/>
      <x:c r="S53" s="103"/>
      <x:c r="T53" s="103"/>
      <x:c r="U53" s="103"/>
      <x:c r="V53" s="105"/>
      <x:c r="W53" s="103"/>
      <x:c r="X53" s="103"/>
      <x:c r="Y53" s="107"/>
      <x:c r="Z53" s="105"/>
      <x:c r="AA53" s="105"/>
      <x:c r="AB53" s="105"/>
      <x:c r="AC53" s="105"/>
      <x:c r="AD53" s="105"/>
      <x:c r="AE53" s="105"/>
      <x:c r="AF53" s="105"/>
      <x:c r="AG53" s="105"/>
      <x:c r="AH53" s="105"/>
      <x:c r="AI53" s="105"/>
      <x:c r="AJ53" s="106" t="str">
        <x:f>IF(OR(AK53="",'設定'!$B$4=""),"",AK53*'設定'!$B$4)</x:f>
      </x:c>
      <x:c r="AK53" s="106" t="str">
        <x:f>IF(OR(AH53="",AI53=""),"",AH53+AI53)</x:f>
      </x:c>
      <x:c r="AL53" s="106" t="str">
        <x:f>IF(OR(A53="",V53="",AK53="",AJ53=""),"",SUM(V53,Z53:AG53,AJ53))</x:f>
      </x:c>
      <x:c r="AM53" s="106" t="str">
        <x:f>IF(OR(AK53="",AL53=""),"",AK53-AL53)</x:f>
      </x:c>
      <x:c r="AN53" s="104" t="str">
        <x:f>IF(A53="","",IF(OR(V53="",Q53="",R53="",S53="",E53="",AK53="",AJ53=""),"STOP: 必須未確認",IF(AM53&lt;=0,"STOP: 利益なし","要承認")))</x:f>
      </x:c>
      <x:c r="AO53" s="105"/>
      <x:c r="AP53" s="105"/>
      <x:c r="AQ53" s="106" t="str">
        <x:f>IF(OR(A53="",AO53="",AP53=""),"",AO53-AP53)</x:f>
      </x:c>
      <x:c r="AR53" s="103"/>
      <x:c r="AS53" s="103"/>
      <x:c r="AT53" s="103"/>
      <x:c r="AU53" s="103"/>
      <x:c r="AV53" s="103"/>
      <x:c r="AW53" s="103"/>
      <x:c r="AX53" s="107"/>
      <x:c r="AY53" s="103"/>
      <x:c r="AZ53" s="103"/>
      <x:c r="BA53" s="103"/>
      <x:c r="BB53" s="103"/>
      <x:c r="BC53" s="107"/>
      <x:c r="BD53" s="107"/>
      <x:c r="BE53" s="107"/>
      <x:c r="BF53" s="107"/>
      <x:c r="BG53" s="103"/>
    </x:row>
    <x:row r="54" ht="20" customHeight="1">
      <x:c r="A54" s="103"/>
      <x:c r="B54" s="103"/>
      <x:c r="C54" s="103"/>
      <x:c r="D54" s="107"/>
      <x:c r="E54" s="103"/>
      <x:c r="F54" s="103"/>
      <x:c r="G54" s="107"/>
      <x:c r="H54" s="103"/>
      <x:c r="I54" s="103"/>
      <x:c r="J54" s="103"/>
      <x:c r="K54" s="103"/>
      <x:c r="L54" s="103"/>
      <x:c r="M54" s="103"/>
      <x:c r="N54" s="103"/>
      <x:c r="O54" s="103"/>
      <x:c r="P54" s="103"/>
      <x:c r="Q54" s="103"/>
      <x:c r="R54" s="103"/>
      <x:c r="S54" s="103"/>
      <x:c r="T54" s="103"/>
      <x:c r="U54" s="103"/>
      <x:c r="V54" s="105"/>
      <x:c r="W54" s="103"/>
      <x:c r="X54" s="103"/>
      <x:c r="Y54" s="107"/>
      <x:c r="Z54" s="105"/>
      <x:c r="AA54" s="105"/>
      <x:c r="AB54" s="105"/>
      <x:c r="AC54" s="105"/>
      <x:c r="AD54" s="105"/>
      <x:c r="AE54" s="105"/>
      <x:c r="AF54" s="105"/>
      <x:c r="AG54" s="105"/>
      <x:c r="AH54" s="105"/>
      <x:c r="AI54" s="105"/>
      <x:c r="AJ54" s="106" t="str">
        <x:f>IF(OR(AK54="",'設定'!$B$4=""),"",AK54*'設定'!$B$4)</x:f>
      </x:c>
      <x:c r="AK54" s="106" t="str">
        <x:f>IF(OR(AH54="",AI54=""),"",AH54+AI54)</x:f>
      </x:c>
      <x:c r="AL54" s="106" t="str">
        <x:f>IF(OR(A54="",V54="",AK54="",AJ54=""),"",SUM(V54,Z54:AG54,AJ54))</x:f>
      </x:c>
      <x:c r="AM54" s="106" t="str">
        <x:f>IF(OR(AK54="",AL54=""),"",AK54-AL54)</x:f>
      </x:c>
      <x:c r="AN54" s="104" t="str">
        <x:f>IF(A54="","",IF(OR(V54="",Q54="",R54="",S54="",E54="",AK54="",AJ54=""),"STOP: 必須未確認",IF(AM54&lt;=0,"STOP: 利益なし","要承認")))</x:f>
      </x:c>
      <x:c r="AO54" s="105"/>
      <x:c r="AP54" s="105"/>
      <x:c r="AQ54" s="106" t="str">
        <x:f>IF(OR(A54="",AO54="",AP54=""),"",AO54-AP54)</x:f>
      </x:c>
      <x:c r="AR54" s="103"/>
      <x:c r="AS54" s="103"/>
      <x:c r="AT54" s="103"/>
      <x:c r="AU54" s="103"/>
      <x:c r="AV54" s="103"/>
      <x:c r="AW54" s="103"/>
      <x:c r="AX54" s="107"/>
      <x:c r="AY54" s="103"/>
      <x:c r="AZ54" s="103"/>
      <x:c r="BA54" s="103"/>
      <x:c r="BB54" s="103"/>
      <x:c r="BC54" s="107"/>
      <x:c r="BD54" s="107"/>
      <x:c r="BE54" s="107"/>
      <x:c r="BF54" s="107"/>
      <x:c r="BG54" s="103"/>
    </x:row>
    <x:row r="55" ht="20" customHeight="1">
      <x:c r="A55" s="103"/>
      <x:c r="B55" s="103"/>
      <x:c r="C55" s="103"/>
      <x:c r="D55" s="107"/>
      <x:c r="E55" s="103"/>
      <x:c r="F55" s="103"/>
      <x:c r="G55" s="107"/>
      <x:c r="H55" s="103"/>
      <x:c r="I55" s="103"/>
      <x:c r="J55" s="103"/>
      <x:c r="K55" s="103"/>
      <x:c r="L55" s="103"/>
      <x:c r="M55" s="103"/>
      <x:c r="N55" s="103"/>
      <x:c r="O55" s="103"/>
      <x:c r="P55" s="103"/>
      <x:c r="Q55" s="103"/>
      <x:c r="R55" s="103"/>
      <x:c r="S55" s="103"/>
      <x:c r="T55" s="103"/>
      <x:c r="U55" s="103"/>
      <x:c r="V55" s="105"/>
      <x:c r="W55" s="103"/>
      <x:c r="X55" s="103"/>
      <x:c r="Y55" s="107"/>
      <x:c r="Z55" s="105"/>
      <x:c r="AA55" s="105"/>
      <x:c r="AB55" s="105"/>
      <x:c r="AC55" s="105"/>
      <x:c r="AD55" s="105"/>
      <x:c r="AE55" s="105"/>
      <x:c r="AF55" s="105"/>
      <x:c r="AG55" s="105"/>
      <x:c r="AH55" s="105"/>
      <x:c r="AI55" s="105"/>
      <x:c r="AJ55" s="106" t="str">
        <x:f>IF(OR(AK55="",'設定'!$B$4=""),"",AK55*'設定'!$B$4)</x:f>
      </x:c>
      <x:c r="AK55" s="106" t="str">
        <x:f>IF(OR(AH55="",AI55=""),"",AH55+AI55)</x:f>
      </x:c>
      <x:c r="AL55" s="106" t="str">
        <x:f>IF(OR(A55="",V55="",AK55="",AJ55=""),"",SUM(V55,Z55:AG55,AJ55))</x:f>
      </x:c>
      <x:c r="AM55" s="106" t="str">
        <x:f>IF(OR(AK55="",AL55=""),"",AK55-AL55)</x:f>
      </x:c>
      <x:c r="AN55" s="104" t="str">
        <x:f>IF(A55="","",IF(OR(V55="",Q55="",R55="",S55="",E55="",AK55="",AJ55=""),"STOP: 必須未確認",IF(AM55&lt;=0,"STOP: 利益なし","要承認")))</x:f>
      </x:c>
      <x:c r="AO55" s="105"/>
      <x:c r="AP55" s="105"/>
      <x:c r="AQ55" s="106" t="str">
        <x:f>IF(OR(A55="",AO55="",AP55=""),"",AO55-AP55)</x:f>
      </x:c>
      <x:c r="AR55" s="103"/>
      <x:c r="AS55" s="103"/>
      <x:c r="AT55" s="103"/>
      <x:c r="AU55" s="103"/>
      <x:c r="AV55" s="103"/>
      <x:c r="AW55" s="103"/>
      <x:c r="AX55" s="107"/>
      <x:c r="AY55" s="103"/>
      <x:c r="AZ55" s="103"/>
      <x:c r="BA55" s="103"/>
      <x:c r="BB55" s="103"/>
      <x:c r="BC55" s="107"/>
      <x:c r="BD55" s="107"/>
      <x:c r="BE55" s="107"/>
      <x:c r="BF55" s="107"/>
      <x:c r="BG55" s="103"/>
    </x:row>
    <x:row r="56" ht="20" customHeight="1">
      <x:c r="A56" s="103"/>
      <x:c r="B56" s="103"/>
      <x:c r="C56" s="103"/>
      <x:c r="D56" s="107"/>
      <x:c r="E56" s="103"/>
      <x:c r="F56" s="103"/>
      <x:c r="G56" s="107"/>
      <x:c r="H56" s="103"/>
      <x:c r="I56" s="103"/>
      <x:c r="J56" s="103"/>
      <x:c r="K56" s="103"/>
      <x:c r="L56" s="103"/>
      <x:c r="M56" s="103"/>
      <x:c r="N56" s="103"/>
      <x:c r="O56" s="103"/>
      <x:c r="P56" s="103"/>
      <x:c r="Q56" s="103"/>
      <x:c r="R56" s="103"/>
      <x:c r="S56" s="103"/>
      <x:c r="T56" s="103"/>
      <x:c r="U56" s="103"/>
      <x:c r="V56" s="105"/>
      <x:c r="W56" s="103"/>
      <x:c r="X56" s="103"/>
      <x:c r="Y56" s="107"/>
      <x:c r="Z56" s="105"/>
      <x:c r="AA56" s="105"/>
      <x:c r="AB56" s="105"/>
      <x:c r="AC56" s="105"/>
      <x:c r="AD56" s="105"/>
      <x:c r="AE56" s="105"/>
      <x:c r="AF56" s="105"/>
      <x:c r="AG56" s="105"/>
      <x:c r="AH56" s="105"/>
      <x:c r="AI56" s="105"/>
      <x:c r="AJ56" s="106" t="str">
        <x:f>IF(OR(AK56="",'設定'!$B$4=""),"",AK56*'設定'!$B$4)</x:f>
      </x:c>
      <x:c r="AK56" s="106" t="str">
        <x:f>IF(OR(AH56="",AI56=""),"",AH56+AI56)</x:f>
      </x:c>
      <x:c r="AL56" s="106" t="str">
        <x:f>IF(OR(A56="",V56="",AK56="",AJ56=""),"",SUM(V56,Z56:AG56,AJ56))</x:f>
      </x:c>
      <x:c r="AM56" s="106" t="str">
        <x:f>IF(OR(AK56="",AL56=""),"",AK56-AL56)</x:f>
      </x:c>
      <x:c r="AN56" s="104" t="str">
        <x:f>IF(A56="","",IF(OR(V56="",Q56="",R56="",S56="",E56="",AK56="",AJ56=""),"STOP: 必須未確認",IF(AM56&lt;=0,"STOP: 利益なし","要承認")))</x:f>
      </x:c>
      <x:c r="AO56" s="105"/>
      <x:c r="AP56" s="105"/>
      <x:c r="AQ56" s="106" t="str">
        <x:f>IF(OR(A56="",AO56="",AP56=""),"",AO56-AP56)</x:f>
      </x:c>
      <x:c r="AR56" s="103"/>
      <x:c r="AS56" s="103"/>
      <x:c r="AT56" s="103"/>
      <x:c r="AU56" s="103"/>
      <x:c r="AV56" s="103"/>
      <x:c r="AW56" s="103"/>
      <x:c r="AX56" s="107"/>
      <x:c r="AY56" s="103"/>
      <x:c r="AZ56" s="103"/>
      <x:c r="BA56" s="103"/>
      <x:c r="BB56" s="103"/>
      <x:c r="BC56" s="107"/>
      <x:c r="BD56" s="107"/>
      <x:c r="BE56" s="107"/>
      <x:c r="BF56" s="107"/>
      <x:c r="BG56" s="103"/>
    </x:row>
    <x:row r="57" ht="20" customHeight="1">
      <x:c r="A57" s="103"/>
      <x:c r="B57" s="103"/>
      <x:c r="C57" s="103"/>
      <x:c r="D57" s="107"/>
      <x:c r="E57" s="103"/>
      <x:c r="F57" s="103"/>
      <x:c r="G57" s="107"/>
      <x:c r="H57" s="103"/>
      <x:c r="I57" s="103"/>
      <x:c r="J57" s="103"/>
      <x:c r="K57" s="103"/>
      <x:c r="L57" s="103"/>
      <x:c r="M57" s="103"/>
      <x:c r="N57" s="103"/>
      <x:c r="O57" s="103"/>
      <x:c r="P57" s="103"/>
      <x:c r="Q57" s="103"/>
      <x:c r="R57" s="103"/>
      <x:c r="S57" s="103"/>
      <x:c r="T57" s="103"/>
      <x:c r="U57" s="103"/>
      <x:c r="V57" s="105"/>
      <x:c r="W57" s="103"/>
      <x:c r="X57" s="103"/>
      <x:c r="Y57" s="107"/>
      <x:c r="Z57" s="105"/>
      <x:c r="AA57" s="105"/>
      <x:c r="AB57" s="105"/>
      <x:c r="AC57" s="105"/>
      <x:c r="AD57" s="105"/>
      <x:c r="AE57" s="105"/>
      <x:c r="AF57" s="105"/>
      <x:c r="AG57" s="105"/>
      <x:c r="AH57" s="105"/>
      <x:c r="AI57" s="105"/>
      <x:c r="AJ57" s="106" t="str">
        <x:f>IF(OR(AK57="",'設定'!$B$4=""),"",AK57*'設定'!$B$4)</x:f>
      </x:c>
      <x:c r="AK57" s="106" t="str">
        <x:f>IF(OR(AH57="",AI57=""),"",AH57+AI57)</x:f>
      </x:c>
      <x:c r="AL57" s="106" t="str">
        <x:f>IF(OR(A57="",V57="",AK57="",AJ57=""),"",SUM(V57,Z57:AG57,AJ57))</x:f>
      </x:c>
      <x:c r="AM57" s="106" t="str">
        <x:f>IF(OR(AK57="",AL57=""),"",AK57-AL57)</x:f>
      </x:c>
      <x:c r="AN57" s="104" t="str">
        <x:f>IF(A57="","",IF(OR(V57="",Q57="",R57="",S57="",E57="",AK57="",AJ57=""),"STOP: 必須未確認",IF(AM57&lt;=0,"STOP: 利益なし","要承認")))</x:f>
      </x:c>
      <x:c r="AO57" s="105"/>
      <x:c r="AP57" s="105"/>
      <x:c r="AQ57" s="106" t="str">
        <x:f>IF(OR(A57="",AO57="",AP57=""),"",AO57-AP57)</x:f>
      </x:c>
      <x:c r="AR57" s="103"/>
      <x:c r="AS57" s="103"/>
      <x:c r="AT57" s="103"/>
      <x:c r="AU57" s="103"/>
      <x:c r="AV57" s="103"/>
      <x:c r="AW57" s="103"/>
      <x:c r="AX57" s="107"/>
      <x:c r="AY57" s="103"/>
      <x:c r="AZ57" s="103"/>
      <x:c r="BA57" s="103"/>
      <x:c r="BB57" s="103"/>
      <x:c r="BC57" s="107"/>
      <x:c r="BD57" s="107"/>
      <x:c r="BE57" s="107"/>
      <x:c r="BF57" s="107"/>
      <x:c r="BG57" s="103"/>
    </x:row>
    <x:row r="58" ht="20" customHeight="1">
      <x:c r="A58" s="103"/>
      <x:c r="B58" s="103"/>
      <x:c r="C58" s="103"/>
      <x:c r="D58" s="107"/>
      <x:c r="E58" s="103"/>
      <x:c r="F58" s="103"/>
      <x:c r="G58" s="107"/>
      <x:c r="H58" s="103"/>
      <x:c r="I58" s="103"/>
      <x:c r="J58" s="103"/>
      <x:c r="K58" s="103"/>
      <x:c r="L58" s="103"/>
      <x:c r="M58" s="103"/>
      <x:c r="N58" s="103"/>
      <x:c r="O58" s="103"/>
      <x:c r="P58" s="103"/>
      <x:c r="Q58" s="103"/>
      <x:c r="R58" s="103"/>
      <x:c r="S58" s="103"/>
      <x:c r="T58" s="103"/>
      <x:c r="U58" s="103"/>
      <x:c r="V58" s="105"/>
      <x:c r="W58" s="103"/>
      <x:c r="X58" s="103"/>
      <x:c r="Y58" s="107"/>
      <x:c r="Z58" s="105"/>
      <x:c r="AA58" s="105"/>
      <x:c r="AB58" s="105"/>
      <x:c r="AC58" s="105"/>
      <x:c r="AD58" s="105"/>
      <x:c r="AE58" s="105"/>
      <x:c r="AF58" s="105"/>
      <x:c r="AG58" s="105"/>
      <x:c r="AH58" s="105"/>
      <x:c r="AI58" s="105"/>
      <x:c r="AJ58" s="106" t="str">
        <x:f>IF(OR(AK58="",'設定'!$B$4=""),"",AK58*'設定'!$B$4)</x:f>
      </x:c>
      <x:c r="AK58" s="106" t="str">
        <x:f>IF(OR(AH58="",AI58=""),"",AH58+AI58)</x:f>
      </x:c>
      <x:c r="AL58" s="106" t="str">
        <x:f>IF(OR(A58="",V58="",AK58="",AJ58=""),"",SUM(V58,Z58:AG58,AJ58))</x:f>
      </x:c>
      <x:c r="AM58" s="106" t="str">
        <x:f>IF(OR(AK58="",AL58=""),"",AK58-AL58)</x:f>
      </x:c>
      <x:c r="AN58" s="104" t="str">
        <x:f>IF(A58="","",IF(OR(V58="",Q58="",R58="",S58="",E58="",AK58="",AJ58=""),"STOP: 必須未確認",IF(AM58&lt;=0,"STOP: 利益なし","要承認")))</x:f>
      </x:c>
      <x:c r="AO58" s="105"/>
      <x:c r="AP58" s="105"/>
      <x:c r="AQ58" s="106" t="str">
        <x:f>IF(OR(A58="",AO58="",AP58=""),"",AO58-AP58)</x:f>
      </x:c>
      <x:c r="AR58" s="103"/>
      <x:c r="AS58" s="103"/>
      <x:c r="AT58" s="103"/>
      <x:c r="AU58" s="103"/>
      <x:c r="AV58" s="103"/>
      <x:c r="AW58" s="103"/>
      <x:c r="AX58" s="107"/>
      <x:c r="AY58" s="103"/>
      <x:c r="AZ58" s="103"/>
      <x:c r="BA58" s="103"/>
      <x:c r="BB58" s="103"/>
      <x:c r="BC58" s="107"/>
      <x:c r="BD58" s="107"/>
      <x:c r="BE58" s="107"/>
      <x:c r="BF58" s="107"/>
      <x:c r="BG58" s="103"/>
    </x:row>
    <x:row r="59" ht="20" customHeight="1">
      <x:c r="A59" s="103"/>
      <x:c r="B59" s="103"/>
      <x:c r="C59" s="103"/>
      <x:c r="D59" s="107"/>
      <x:c r="E59" s="103"/>
      <x:c r="F59" s="103"/>
      <x:c r="G59" s="107"/>
      <x:c r="H59" s="103"/>
      <x:c r="I59" s="103"/>
      <x:c r="J59" s="103"/>
      <x:c r="K59" s="103"/>
      <x:c r="L59" s="103"/>
      <x:c r="M59" s="103"/>
      <x:c r="N59" s="103"/>
      <x:c r="O59" s="103"/>
      <x:c r="P59" s="103"/>
      <x:c r="Q59" s="103"/>
      <x:c r="R59" s="103"/>
      <x:c r="S59" s="103"/>
      <x:c r="T59" s="103"/>
      <x:c r="U59" s="103"/>
      <x:c r="V59" s="105"/>
      <x:c r="W59" s="103"/>
      <x:c r="X59" s="103"/>
      <x:c r="Y59" s="107"/>
      <x:c r="Z59" s="105"/>
      <x:c r="AA59" s="105"/>
      <x:c r="AB59" s="105"/>
      <x:c r="AC59" s="105"/>
      <x:c r="AD59" s="105"/>
      <x:c r="AE59" s="105"/>
      <x:c r="AF59" s="105"/>
      <x:c r="AG59" s="105"/>
      <x:c r="AH59" s="105"/>
      <x:c r="AI59" s="105"/>
      <x:c r="AJ59" s="106" t="str">
        <x:f>IF(OR(AK59="",'設定'!$B$4=""),"",AK59*'設定'!$B$4)</x:f>
      </x:c>
      <x:c r="AK59" s="106" t="str">
        <x:f>IF(OR(AH59="",AI59=""),"",AH59+AI59)</x:f>
      </x:c>
      <x:c r="AL59" s="106" t="str">
        <x:f>IF(OR(A59="",V59="",AK59="",AJ59=""),"",SUM(V59,Z59:AG59,AJ59))</x:f>
      </x:c>
      <x:c r="AM59" s="106" t="str">
        <x:f>IF(OR(AK59="",AL59=""),"",AK59-AL59)</x:f>
      </x:c>
      <x:c r="AN59" s="104" t="str">
        <x:f>IF(A59="","",IF(OR(V59="",Q59="",R59="",S59="",E59="",AK59="",AJ59=""),"STOP: 必須未確認",IF(AM59&lt;=0,"STOP: 利益なし","要承認")))</x:f>
      </x:c>
      <x:c r="AO59" s="105"/>
      <x:c r="AP59" s="105"/>
      <x:c r="AQ59" s="106" t="str">
        <x:f>IF(OR(A59="",AO59="",AP59=""),"",AO59-AP59)</x:f>
      </x:c>
      <x:c r="AR59" s="103"/>
      <x:c r="AS59" s="103"/>
      <x:c r="AT59" s="103"/>
      <x:c r="AU59" s="103"/>
      <x:c r="AV59" s="103"/>
      <x:c r="AW59" s="103"/>
      <x:c r="AX59" s="107"/>
      <x:c r="AY59" s="103"/>
      <x:c r="AZ59" s="103"/>
      <x:c r="BA59" s="103"/>
      <x:c r="BB59" s="103"/>
      <x:c r="BC59" s="107"/>
      <x:c r="BD59" s="107"/>
      <x:c r="BE59" s="107"/>
      <x:c r="BF59" s="107"/>
      <x:c r="BG59" s="103"/>
    </x:row>
    <x:row r="60" ht="20" customHeight="1">
      <x:c r="A60" s="103"/>
      <x:c r="B60" s="103"/>
      <x:c r="C60" s="103"/>
      <x:c r="D60" s="107"/>
      <x:c r="E60" s="103"/>
      <x:c r="F60" s="103"/>
      <x:c r="G60" s="107"/>
      <x:c r="H60" s="103"/>
      <x:c r="I60" s="103"/>
      <x:c r="J60" s="103"/>
      <x:c r="K60" s="103"/>
      <x:c r="L60" s="103"/>
      <x:c r="M60" s="103"/>
      <x:c r="N60" s="103"/>
      <x:c r="O60" s="103"/>
      <x:c r="P60" s="103"/>
      <x:c r="Q60" s="103"/>
      <x:c r="R60" s="103"/>
      <x:c r="S60" s="103"/>
      <x:c r="T60" s="103"/>
      <x:c r="U60" s="103"/>
      <x:c r="V60" s="105"/>
      <x:c r="W60" s="103"/>
      <x:c r="X60" s="103"/>
      <x:c r="Y60" s="107"/>
      <x:c r="Z60" s="105"/>
      <x:c r="AA60" s="105"/>
      <x:c r="AB60" s="105"/>
      <x:c r="AC60" s="105"/>
      <x:c r="AD60" s="105"/>
      <x:c r="AE60" s="105"/>
      <x:c r="AF60" s="105"/>
      <x:c r="AG60" s="105"/>
      <x:c r="AH60" s="105"/>
      <x:c r="AI60" s="105"/>
      <x:c r="AJ60" s="106" t="str">
        <x:f>IF(OR(AK60="",'設定'!$B$4=""),"",AK60*'設定'!$B$4)</x:f>
      </x:c>
      <x:c r="AK60" s="106" t="str">
        <x:f>IF(OR(AH60="",AI60=""),"",AH60+AI60)</x:f>
      </x:c>
      <x:c r="AL60" s="106" t="str">
        <x:f>IF(OR(A60="",V60="",AK60="",AJ60=""),"",SUM(V60,Z60:AG60,AJ60))</x:f>
      </x:c>
      <x:c r="AM60" s="106" t="str">
        <x:f>IF(OR(AK60="",AL60=""),"",AK60-AL60)</x:f>
      </x:c>
      <x:c r="AN60" s="104" t="str">
        <x:f>IF(A60="","",IF(OR(V60="",Q60="",R60="",S60="",E60="",AK60="",AJ60=""),"STOP: 必須未確認",IF(AM60&lt;=0,"STOP: 利益なし","要承認")))</x:f>
      </x:c>
      <x:c r="AO60" s="105"/>
      <x:c r="AP60" s="105"/>
      <x:c r="AQ60" s="106" t="str">
        <x:f>IF(OR(A60="",AO60="",AP60=""),"",AO60-AP60)</x:f>
      </x:c>
      <x:c r="AR60" s="103"/>
      <x:c r="AS60" s="103"/>
      <x:c r="AT60" s="103"/>
      <x:c r="AU60" s="103"/>
      <x:c r="AV60" s="103"/>
      <x:c r="AW60" s="103"/>
      <x:c r="AX60" s="107"/>
      <x:c r="AY60" s="103"/>
      <x:c r="AZ60" s="103"/>
      <x:c r="BA60" s="103"/>
      <x:c r="BB60" s="103"/>
      <x:c r="BC60" s="107"/>
      <x:c r="BD60" s="107"/>
      <x:c r="BE60" s="107"/>
      <x:c r="BF60" s="107"/>
      <x:c r="BG60" s="103"/>
    </x:row>
    <x:row r="61" ht="20" customHeight="1">
      <x:c r="A61" s="103"/>
      <x:c r="B61" s="103"/>
      <x:c r="C61" s="103"/>
      <x:c r="D61" s="107"/>
      <x:c r="E61" s="103"/>
      <x:c r="F61" s="103"/>
      <x:c r="G61" s="107"/>
      <x:c r="H61" s="103"/>
      <x:c r="I61" s="103"/>
      <x:c r="J61" s="103"/>
      <x:c r="K61" s="103"/>
      <x:c r="L61" s="103"/>
      <x:c r="M61" s="103"/>
      <x:c r="N61" s="103"/>
      <x:c r="O61" s="103"/>
      <x:c r="P61" s="103"/>
      <x:c r="Q61" s="103"/>
      <x:c r="R61" s="103"/>
      <x:c r="S61" s="103"/>
      <x:c r="T61" s="103"/>
      <x:c r="U61" s="103"/>
      <x:c r="V61" s="105"/>
      <x:c r="W61" s="103"/>
      <x:c r="X61" s="103"/>
      <x:c r="Y61" s="107"/>
      <x:c r="Z61" s="105"/>
      <x:c r="AA61" s="105"/>
      <x:c r="AB61" s="105"/>
      <x:c r="AC61" s="105"/>
      <x:c r="AD61" s="105"/>
      <x:c r="AE61" s="105"/>
      <x:c r="AF61" s="105"/>
      <x:c r="AG61" s="105"/>
      <x:c r="AH61" s="105"/>
      <x:c r="AI61" s="105"/>
      <x:c r="AJ61" s="106" t="str">
        <x:f>IF(OR(AK61="",'設定'!$B$4=""),"",AK61*'設定'!$B$4)</x:f>
      </x:c>
      <x:c r="AK61" s="106" t="str">
        <x:f>IF(OR(AH61="",AI61=""),"",AH61+AI61)</x:f>
      </x:c>
      <x:c r="AL61" s="106" t="str">
        <x:f>IF(OR(A61="",V61="",AK61="",AJ61=""),"",SUM(V61,Z61:AG61,AJ61))</x:f>
      </x:c>
      <x:c r="AM61" s="106" t="str">
        <x:f>IF(OR(AK61="",AL61=""),"",AK61-AL61)</x:f>
      </x:c>
      <x:c r="AN61" s="104" t="str">
        <x:f>IF(A61="","",IF(OR(V61="",Q61="",R61="",S61="",E61="",AK61="",AJ61=""),"STOP: 必須未確認",IF(AM61&lt;=0,"STOP: 利益なし","要承認")))</x:f>
      </x:c>
      <x:c r="AO61" s="105"/>
      <x:c r="AP61" s="105"/>
      <x:c r="AQ61" s="106" t="str">
        <x:f>IF(OR(A61="",AO61="",AP61=""),"",AO61-AP61)</x:f>
      </x:c>
      <x:c r="AR61" s="103"/>
      <x:c r="AS61" s="103"/>
      <x:c r="AT61" s="103"/>
      <x:c r="AU61" s="103"/>
      <x:c r="AV61" s="103"/>
      <x:c r="AW61" s="103"/>
      <x:c r="AX61" s="107"/>
      <x:c r="AY61" s="103"/>
      <x:c r="AZ61" s="103"/>
      <x:c r="BA61" s="103"/>
      <x:c r="BB61" s="103"/>
      <x:c r="BC61" s="107"/>
      <x:c r="BD61" s="107"/>
      <x:c r="BE61" s="107"/>
      <x:c r="BF61" s="107"/>
      <x:c r="BG61" s="103"/>
    </x:row>
    <x:row r="62" ht="20" customHeight="1">
      <x:c r="A62" s="103"/>
      <x:c r="B62" s="103"/>
      <x:c r="C62" s="103"/>
      <x:c r="D62" s="107"/>
      <x:c r="E62" s="103"/>
      <x:c r="F62" s="103"/>
      <x:c r="G62" s="107"/>
      <x:c r="H62" s="103"/>
      <x:c r="I62" s="103"/>
      <x:c r="J62" s="103"/>
      <x:c r="K62" s="103"/>
      <x:c r="L62" s="103"/>
      <x:c r="M62" s="103"/>
      <x:c r="N62" s="103"/>
      <x:c r="O62" s="103"/>
      <x:c r="P62" s="103"/>
      <x:c r="Q62" s="103"/>
      <x:c r="R62" s="103"/>
      <x:c r="S62" s="103"/>
      <x:c r="T62" s="103"/>
      <x:c r="U62" s="103"/>
      <x:c r="V62" s="105"/>
      <x:c r="W62" s="103"/>
      <x:c r="X62" s="103"/>
      <x:c r="Y62" s="107"/>
      <x:c r="Z62" s="105"/>
      <x:c r="AA62" s="105"/>
      <x:c r="AB62" s="105"/>
      <x:c r="AC62" s="105"/>
      <x:c r="AD62" s="105"/>
      <x:c r="AE62" s="105"/>
      <x:c r="AF62" s="105"/>
      <x:c r="AG62" s="105"/>
      <x:c r="AH62" s="105"/>
      <x:c r="AI62" s="105"/>
      <x:c r="AJ62" s="106" t="str">
        <x:f>IF(OR(AK62="",'設定'!$B$4=""),"",AK62*'設定'!$B$4)</x:f>
      </x:c>
      <x:c r="AK62" s="106" t="str">
        <x:f>IF(OR(AH62="",AI62=""),"",AH62+AI62)</x:f>
      </x:c>
      <x:c r="AL62" s="106" t="str">
        <x:f>IF(OR(A62="",V62="",AK62="",AJ62=""),"",SUM(V62,Z62:AG62,AJ62))</x:f>
      </x:c>
      <x:c r="AM62" s="106" t="str">
        <x:f>IF(OR(AK62="",AL62=""),"",AK62-AL62)</x:f>
      </x:c>
      <x:c r="AN62" s="104" t="str">
        <x:f>IF(A62="","",IF(OR(V62="",Q62="",R62="",S62="",E62="",AK62="",AJ62=""),"STOP: 必須未確認",IF(AM62&lt;=0,"STOP: 利益なし","要承認")))</x:f>
      </x:c>
      <x:c r="AO62" s="105"/>
      <x:c r="AP62" s="105"/>
      <x:c r="AQ62" s="106" t="str">
        <x:f>IF(OR(A62="",AO62="",AP62=""),"",AO62-AP62)</x:f>
      </x:c>
      <x:c r="AR62" s="103"/>
      <x:c r="AS62" s="103"/>
      <x:c r="AT62" s="103"/>
      <x:c r="AU62" s="103"/>
      <x:c r="AV62" s="103"/>
      <x:c r="AW62" s="103"/>
      <x:c r="AX62" s="107"/>
      <x:c r="AY62" s="103"/>
      <x:c r="AZ62" s="103"/>
      <x:c r="BA62" s="103"/>
      <x:c r="BB62" s="103"/>
      <x:c r="BC62" s="107"/>
      <x:c r="BD62" s="107"/>
      <x:c r="BE62" s="107"/>
      <x:c r="BF62" s="107"/>
      <x:c r="BG62" s="103"/>
    </x:row>
    <x:row r="63" ht="20" customHeight="1">
      <x:c r="A63" s="103"/>
      <x:c r="B63" s="103"/>
      <x:c r="C63" s="103"/>
      <x:c r="D63" s="107"/>
      <x:c r="E63" s="103"/>
      <x:c r="F63" s="103"/>
      <x:c r="G63" s="107"/>
      <x:c r="H63" s="103"/>
      <x:c r="I63" s="103"/>
      <x:c r="J63" s="103"/>
      <x:c r="K63" s="103"/>
      <x:c r="L63" s="103"/>
      <x:c r="M63" s="103"/>
      <x:c r="N63" s="103"/>
      <x:c r="O63" s="103"/>
      <x:c r="P63" s="103"/>
      <x:c r="Q63" s="103"/>
      <x:c r="R63" s="103"/>
      <x:c r="S63" s="103"/>
      <x:c r="T63" s="103"/>
      <x:c r="U63" s="103"/>
      <x:c r="V63" s="105"/>
      <x:c r="W63" s="103"/>
      <x:c r="X63" s="103"/>
      <x:c r="Y63" s="107"/>
      <x:c r="Z63" s="105"/>
      <x:c r="AA63" s="105"/>
      <x:c r="AB63" s="105"/>
      <x:c r="AC63" s="105"/>
      <x:c r="AD63" s="105"/>
      <x:c r="AE63" s="105"/>
      <x:c r="AF63" s="105"/>
      <x:c r="AG63" s="105"/>
      <x:c r="AH63" s="105"/>
      <x:c r="AI63" s="105"/>
      <x:c r="AJ63" s="106" t="str">
        <x:f>IF(OR(AK63="",'設定'!$B$4=""),"",AK63*'設定'!$B$4)</x:f>
      </x:c>
      <x:c r="AK63" s="106" t="str">
        <x:f>IF(OR(AH63="",AI63=""),"",AH63+AI63)</x:f>
      </x:c>
      <x:c r="AL63" s="106" t="str">
        <x:f>IF(OR(A63="",V63="",AK63="",AJ63=""),"",SUM(V63,Z63:AG63,AJ63))</x:f>
      </x:c>
      <x:c r="AM63" s="106" t="str">
        <x:f>IF(OR(AK63="",AL63=""),"",AK63-AL63)</x:f>
      </x:c>
      <x:c r="AN63" s="104" t="str">
        <x:f>IF(A63="","",IF(OR(V63="",Q63="",R63="",S63="",E63="",AK63="",AJ63=""),"STOP: 必須未確認",IF(AM63&lt;=0,"STOP: 利益なし","要承認")))</x:f>
      </x:c>
      <x:c r="AO63" s="105"/>
      <x:c r="AP63" s="105"/>
      <x:c r="AQ63" s="106" t="str">
        <x:f>IF(OR(A63="",AO63="",AP63=""),"",AO63-AP63)</x:f>
      </x:c>
      <x:c r="AR63" s="103"/>
      <x:c r="AS63" s="103"/>
      <x:c r="AT63" s="103"/>
      <x:c r="AU63" s="103"/>
      <x:c r="AV63" s="103"/>
      <x:c r="AW63" s="103"/>
      <x:c r="AX63" s="107"/>
      <x:c r="AY63" s="103"/>
      <x:c r="AZ63" s="103"/>
      <x:c r="BA63" s="103"/>
      <x:c r="BB63" s="103"/>
      <x:c r="BC63" s="107"/>
      <x:c r="BD63" s="107"/>
      <x:c r="BE63" s="107"/>
      <x:c r="BF63" s="107"/>
      <x:c r="BG63" s="103"/>
    </x:row>
    <x:row r="64" ht="20" customHeight="1">
      <x:c r="A64" s="103"/>
      <x:c r="B64" s="103"/>
      <x:c r="C64" s="103"/>
      <x:c r="D64" s="107"/>
      <x:c r="E64" s="103"/>
      <x:c r="F64" s="103"/>
      <x:c r="G64" s="107"/>
      <x:c r="H64" s="103"/>
      <x:c r="I64" s="103"/>
      <x:c r="J64" s="103"/>
      <x:c r="K64" s="103"/>
      <x:c r="L64" s="103"/>
      <x:c r="M64" s="103"/>
      <x:c r="N64" s="103"/>
      <x:c r="O64" s="103"/>
      <x:c r="P64" s="103"/>
      <x:c r="Q64" s="103"/>
      <x:c r="R64" s="103"/>
      <x:c r="S64" s="103"/>
      <x:c r="T64" s="103"/>
      <x:c r="U64" s="103"/>
      <x:c r="V64" s="105"/>
      <x:c r="W64" s="103"/>
      <x:c r="X64" s="103"/>
      <x:c r="Y64" s="107"/>
      <x:c r="Z64" s="105"/>
      <x:c r="AA64" s="105"/>
      <x:c r="AB64" s="105"/>
      <x:c r="AC64" s="105"/>
      <x:c r="AD64" s="105"/>
      <x:c r="AE64" s="105"/>
      <x:c r="AF64" s="105"/>
      <x:c r="AG64" s="105"/>
      <x:c r="AH64" s="105"/>
      <x:c r="AI64" s="105"/>
      <x:c r="AJ64" s="106" t="str">
        <x:f>IF(OR(AK64="",'設定'!$B$4=""),"",AK64*'設定'!$B$4)</x:f>
      </x:c>
      <x:c r="AK64" s="106" t="str">
        <x:f>IF(OR(AH64="",AI64=""),"",AH64+AI64)</x:f>
      </x:c>
      <x:c r="AL64" s="106" t="str">
        <x:f>IF(OR(A64="",V64="",AK64="",AJ64=""),"",SUM(V64,Z64:AG64,AJ64))</x:f>
      </x:c>
      <x:c r="AM64" s="106" t="str">
        <x:f>IF(OR(AK64="",AL64=""),"",AK64-AL64)</x:f>
      </x:c>
      <x:c r="AN64" s="104" t="str">
        <x:f>IF(A64="","",IF(OR(V64="",Q64="",R64="",S64="",E64="",AK64="",AJ64=""),"STOP: 必須未確認",IF(AM64&lt;=0,"STOP: 利益なし","要承認")))</x:f>
      </x:c>
      <x:c r="AO64" s="105"/>
      <x:c r="AP64" s="105"/>
      <x:c r="AQ64" s="106" t="str">
        <x:f>IF(OR(A64="",AO64="",AP64=""),"",AO64-AP64)</x:f>
      </x:c>
      <x:c r="AR64" s="103"/>
      <x:c r="AS64" s="103"/>
      <x:c r="AT64" s="103"/>
      <x:c r="AU64" s="103"/>
      <x:c r="AV64" s="103"/>
      <x:c r="AW64" s="103"/>
      <x:c r="AX64" s="107"/>
      <x:c r="AY64" s="103"/>
      <x:c r="AZ64" s="103"/>
      <x:c r="BA64" s="103"/>
      <x:c r="BB64" s="103"/>
      <x:c r="BC64" s="107"/>
      <x:c r="BD64" s="107"/>
      <x:c r="BE64" s="107"/>
      <x:c r="BF64" s="107"/>
      <x:c r="BG64" s="103"/>
    </x:row>
    <x:row r="65" ht="20" customHeight="1">
      <x:c r="A65" s="103"/>
      <x:c r="B65" s="103"/>
      <x:c r="C65" s="103"/>
      <x:c r="D65" s="107"/>
      <x:c r="E65" s="103"/>
      <x:c r="F65" s="103"/>
      <x:c r="G65" s="107"/>
      <x:c r="H65" s="103"/>
      <x:c r="I65" s="103"/>
      <x:c r="J65" s="103"/>
      <x:c r="K65" s="103"/>
      <x:c r="L65" s="103"/>
      <x:c r="M65" s="103"/>
      <x:c r="N65" s="103"/>
      <x:c r="O65" s="103"/>
      <x:c r="P65" s="103"/>
      <x:c r="Q65" s="103"/>
      <x:c r="R65" s="103"/>
      <x:c r="S65" s="103"/>
      <x:c r="T65" s="103"/>
      <x:c r="U65" s="103"/>
      <x:c r="V65" s="105"/>
      <x:c r="W65" s="103"/>
      <x:c r="X65" s="103"/>
      <x:c r="Y65" s="107"/>
      <x:c r="Z65" s="105"/>
      <x:c r="AA65" s="105"/>
      <x:c r="AB65" s="105"/>
      <x:c r="AC65" s="105"/>
      <x:c r="AD65" s="105"/>
      <x:c r="AE65" s="105"/>
      <x:c r="AF65" s="105"/>
      <x:c r="AG65" s="105"/>
      <x:c r="AH65" s="105"/>
      <x:c r="AI65" s="105"/>
      <x:c r="AJ65" s="106" t="str">
        <x:f>IF(OR(AK65="",'設定'!$B$4=""),"",AK65*'設定'!$B$4)</x:f>
      </x:c>
      <x:c r="AK65" s="106" t="str">
        <x:f>IF(OR(AH65="",AI65=""),"",AH65+AI65)</x:f>
      </x:c>
      <x:c r="AL65" s="106" t="str">
        <x:f>IF(OR(A65="",V65="",AK65="",AJ65=""),"",SUM(V65,Z65:AG65,AJ65))</x:f>
      </x:c>
      <x:c r="AM65" s="106" t="str">
        <x:f>IF(OR(AK65="",AL65=""),"",AK65-AL65)</x:f>
      </x:c>
      <x:c r="AN65" s="104" t="str">
        <x:f>IF(A65="","",IF(OR(V65="",Q65="",R65="",S65="",E65="",AK65="",AJ65=""),"STOP: 必須未確認",IF(AM65&lt;=0,"STOP: 利益なし","要承認")))</x:f>
      </x:c>
      <x:c r="AO65" s="105"/>
      <x:c r="AP65" s="105"/>
      <x:c r="AQ65" s="106" t="str">
        <x:f>IF(OR(A65="",AO65="",AP65=""),"",AO65-AP65)</x:f>
      </x:c>
      <x:c r="AR65" s="103"/>
      <x:c r="AS65" s="103"/>
      <x:c r="AT65" s="103"/>
      <x:c r="AU65" s="103"/>
      <x:c r="AV65" s="103"/>
      <x:c r="AW65" s="103"/>
      <x:c r="AX65" s="107"/>
      <x:c r="AY65" s="103"/>
      <x:c r="AZ65" s="103"/>
      <x:c r="BA65" s="103"/>
      <x:c r="BB65" s="103"/>
      <x:c r="BC65" s="107"/>
      <x:c r="BD65" s="107"/>
      <x:c r="BE65" s="107"/>
      <x:c r="BF65" s="107"/>
      <x:c r="BG65" s="103"/>
    </x:row>
    <x:row r="66" ht="20" customHeight="1">
      <x:c r="A66" s="103"/>
      <x:c r="B66" s="103"/>
      <x:c r="C66" s="103"/>
      <x:c r="D66" s="107"/>
      <x:c r="E66" s="103"/>
      <x:c r="F66" s="103"/>
      <x:c r="G66" s="107"/>
      <x:c r="H66" s="103"/>
      <x:c r="I66" s="103"/>
      <x:c r="J66" s="103"/>
      <x:c r="K66" s="103"/>
      <x:c r="L66" s="103"/>
      <x:c r="M66" s="103"/>
      <x:c r="N66" s="103"/>
      <x:c r="O66" s="103"/>
      <x:c r="P66" s="103"/>
      <x:c r="Q66" s="103"/>
      <x:c r="R66" s="103"/>
      <x:c r="S66" s="103"/>
      <x:c r="T66" s="103"/>
      <x:c r="U66" s="103"/>
      <x:c r="V66" s="105"/>
      <x:c r="W66" s="103"/>
      <x:c r="X66" s="103"/>
      <x:c r="Y66" s="107"/>
      <x:c r="Z66" s="105"/>
      <x:c r="AA66" s="105"/>
      <x:c r="AB66" s="105"/>
      <x:c r="AC66" s="105"/>
      <x:c r="AD66" s="105"/>
      <x:c r="AE66" s="105"/>
      <x:c r="AF66" s="105"/>
      <x:c r="AG66" s="105"/>
      <x:c r="AH66" s="105"/>
      <x:c r="AI66" s="105"/>
      <x:c r="AJ66" s="106" t="str">
        <x:f>IF(OR(AK66="",'設定'!$B$4=""),"",AK66*'設定'!$B$4)</x:f>
      </x:c>
      <x:c r="AK66" s="106" t="str">
        <x:f>IF(OR(AH66="",AI66=""),"",AH66+AI66)</x:f>
      </x:c>
      <x:c r="AL66" s="106" t="str">
        <x:f>IF(OR(A66="",V66="",AK66="",AJ66=""),"",SUM(V66,Z66:AG66,AJ66))</x:f>
      </x:c>
      <x:c r="AM66" s="106" t="str">
        <x:f>IF(OR(AK66="",AL66=""),"",AK66-AL66)</x:f>
      </x:c>
      <x:c r="AN66" s="104" t="str">
        <x:f>IF(A66="","",IF(OR(V66="",Q66="",R66="",S66="",E66="",AK66="",AJ66=""),"STOP: 必須未確認",IF(AM66&lt;=0,"STOP: 利益なし","要承認")))</x:f>
      </x:c>
      <x:c r="AO66" s="105"/>
      <x:c r="AP66" s="105"/>
      <x:c r="AQ66" s="106" t="str">
        <x:f>IF(OR(A66="",AO66="",AP66=""),"",AO66-AP66)</x:f>
      </x:c>
      <x:c r="AR66" s="103"/>
      <x:c r="AS66" s="103"/>
      <x:c r="AT66" s="103"/>
      <x:c r="AU66" s="103"/>
      <x:c r="AV66" s="103"/>
      <x:c r="AW66" s="103"/>
      <x:c r="AX66" s="107"/>
      <x:c r="AY66" s="103"/>
      <x:c r="AZ66" s="103"/>
      <x:c r="BA66" s="103"/>
      <x:c r="BB66" s="103"/>
      <x:c r="BC66" s="107"/>
      <x:c r="BD66" s="107"/>
      <x:c r="BE66" s="107"/>
      <x:c r="BF66" s="107"/>
      <x:c r="BG66" s="103"/>
    </x:row>
    <x:row r="67" ht="20" customHeight="1">
      <x:c r="A67" s="103"/>
      <x:c r="B67" s="103"/>
      <x:c r="C67" s="103"/>
      <x:c r="D67" s="107"/>
      <x:c r="E67" s="103"/>
      <x:c r="F67" s="103"/>
      <x:c r="G67" s="107"/>
      <x:c r="H67" s="103"/>
      <x:c r="I67" s="103"/>
      <x:c r="J67" s="103"/>
      <x:c r="K67" s="103"/>
      <x:c r="L67" s="103"/>
      <x:c r="M67" s="103"/>
      <x:c r="N67" s="103"/>
      <x:c r="O67" s="103"/>
      <x:c r="P67" s="103"/>
      <x:c r="Q67" s="103"/>
      <x:c r="R67" s="103"/>
      <x:c r="S67" s="103"/>
      <x:c r="T67" s="103"/>
      <x:c r="U67" s="103"/>
      <x:c r="V67" s="105"/>
      <x:c r="W67" s="103"/>
      <x:c r="X67" s="103"/>
      <x:c r="Y67" s="107"/>
      <x:c r="Z67" s="105"/>
      <x:c r="AA67" s="105"/>
      <x:c r="AB67" s="105"/>
      <x:c r="AC67" s="105"/>
      <x:c r="AD67" s="105"/>
      <x:c r="AE67" s="105"/>
      <x:c r="AF67" s="105"/>
      <x:c r="AG67" s="105"/>
      <x:c r="AH67" s="105"/>
      <x:c r="AI67" s="105"/>
      <x:c r="AJ67" s="106" t="str">
        <x:f>IF(OR(AK67="",'設定'!$B$4=""),"",AK67*'設定'!$B$4)</x:f>
      </x:c>
      <x:c r="AK67" s="106" t="str">
        <x:f>IF(OR(AH67="",AI67=""),"",AH67+AI67)</x:f>
      </x:c>
      <x:c r="AL67" s="106" t="str">
        <x:f>IF(OR(A67="",V67="",AK67="",AJ67=""),"",SUM(V67,Z67:AG67,AJ67))</x:f>
      </x:c>
      <x:c r="AM67" s="106" t="str">
        <x:f>IF(OR(AK67="",AL67=""),"",AK67-AL67)</x:f>
      </x:c>
      <x:c r="AN67" s="104" t="str">
        <x:f>IF(A67="","",IF(OR(V67="",Q67="",R67="",S67="",E67="",AK67="",AJ67=""),"STOP: 必須未確認",IF(AM67&lt;=0,"STOP: 利益なし","要承認")))</x:f>
      </x:c>
      <x:c r="AO67" s="105"/>
      <x:c r="AP67" s="105"/>
      <x:c r="AQ67" s="106" t="str">
        <x:f>IF(OR(A67="",AO67="",AP67=""),"",AO67-AP67)</x:f>
      </x:c>
      <x:c r="AR67" s="103"/>
      <x:c r="AS67" s="103"/>
      <x:c r="AT67" s="103"/>
      <x:c r="AU67" s="103"/>
      <x:c r="AV67" s="103"/>
      <x:c r="AW67" s="103"/>
      <x:c r="AX67" s="107"/>
      <x:c r="AY67" s="103"/>
      <x:c r="AZ67" s="103"/>
      <x:c r="BA67" s="103"/>
      <x:c r="BB67" s="103"/>
      <x:c r="BC67" s="107"/>
      <x:c r="BD67" s="107"/>
      <x:c r="BE67" s="107"/>
      <x:c r="BF67" s="107"/>
      <x:c r="BG67" s="103"/>
    </x:row>
    <x:row r="68" ht="20" customHeight="1">
      <x:c r="A68" s="103"/>
      <x:c r="B68" s="103"/>
      <x:c r="C68" s="103"/>
      <x:c r="D68" s="107"/>
      <x:c r="E68" s="103"/>
      <x:c r="F68" s="103"/>
      <x:c r="G68" s="107"/>
      <x:c r="H68" s="103"/>
      <x:c r="I68" s="103"/>
      <x:c r="J68" s="103"/>
      <x:c r="K68" s="103"/>
      <x:c r="L68" s="103"/>
      <x:c r="M68" s="103"/>
      <x:c r="N68" s="103"/>
      <x:c r="O68" s="103"/>
      <x:c r="P68" s="103"/>
      <x:c r="Q68" s="103"/>
      <x:c r="R68" s="103"/>
      <x:c r="S68" s="103"/>
      <x:c r="T68" s="103"/>
      <x:c r="U68" s="103"/>
      <x:c r="V68" s="105"/>
      <x:c r="W68" s="103"/>
      <x:c r="X68" s="103"/>
      <x:c r="Y68" s="107"/>
      <x:c r="Z68" s="105"/>
      <x:c r="AA68" s="105"/>
      <x:c r="AB68" s="105"/>
      <x:c r="AC68" s="105"/>
      <x:c r="AD68" s="105"/>
      <x:c r="AE68" s="105"/>
      <x:c r="AF68" s="105"/>
      <x:c r="AG68" s="105"/>
      <x:c r="AH68" s="105"/>
      <x:c r="AI68" s="105"/>
      <x:c r="AJ68" s="106" t="str">
        <x:f>IF(OR(AK68="",'設定'!$B$4=""),"",AK68*'設定'!$B$4)</x:f>
      </x:c>
      <x:c r="AK68" s="106" t="str">
        <x:f>IF(OR(AH68="",AI68=""),"",AH68+AI68)</x:f>
      </x:c>
      <x:c r="AL68" s="106" t="str">
        <x:f>IF(OR(A68="",V68="",AK68="",AJ68=""),"",SUM(V68,Z68:AG68,AJ68))</x:f>
      </x:c>
      <x:c r="AM68" s="106" t="str">
        <x:f>IF(OR(AK68="",AL68=""),"",AK68-AL68)</x:f>
      </x:c>
      <x:c r="AN68" s="104" t="str">
        <x:f>IF(A68="","",IF(OR(V68="",Q68="",R68="",S68="",E68="",AK68="",AJ68=""),"STOP: 必須未確認",IF(AM68&lt;=0,"STOP: 利益なし","要承認")))</x:f>
      </x:c>
      <x:c r="AO68" s="105"/>
      <x:c r="AP68" s="105"/>
      <x:c r="AQ68" s="106" t="str">
        <x:f>IF(OR(A68="",AO68="",AP68=""),"",AO68-AP68)</x:f>
      </x:c>
      <x:c r="AR68" s="103"/>
      <x:c r="AS68" s="103"/>
      <x:c r="AT68" s="103"/>
      <x:c r="AU68" s="103"/>
      <x:c r="AV68" s="103"/>
      <x:c r="AW68" s="103"/>
      <x:c r="AX68" s="107"/>
      <x:c r="AY68" s="103"/>
      <x:c r="AZ68" s="103"/>
      <x:c r="BA68" s="103"/>
      <x:c r="BB68" s="103"/>
      <x:c r="BC68" s="107"/>
      <x:c r="BD68" s="107"/>
      <x:c r="BE68" s="107"/>
      <x:c r="BF68" s="107"/>
      <x:c r="BG68" s="103"/>
    </x:row>
    <x:row r="69" ht="20" customHeight="1">
      <x:c r="A69" s="103"/>
      <x:c r="B69" s="103"/>
      <x:c r="C69" s="103"/>
      <x:c r="D69" s="107"/>
      <x:c r="E69" s="103"/>
      <x:c r="F69" s="103"/>
      <x:c r="G69" s="107"/>
      <x:c r="H69" s="103"/>
      <x:c r="I69" s="103"/>
      <x:c r="J69" s="103"/>
      <x:c r="K69" s="103"/>
      <x:c r="L69" s="103"/>
      <x:c r="M69" s="103"/>
      <x:c r="N69" s="103"/>
      <x:c r="O69" s="103"/>
      <x:c r="P69" s="103"/>
      <x:c r="Q69" s="103"/>
      <x:c r="R69" s="103"/>
      <x:c r="S69" s="103"/>
      <x:c r="T69" s="103"/>
      <x:c r="U69" s="103"/>
      <x:c r="V69" s="105"/>
      <x:c r="W69" s="103"/>
      <x:c r="X69" s="103"/>
      <x:c r="Y69" s="107"/>
      <x:c r="Z69" s="105"/>
      <x:c r="AA69" s="105"/>
      <x:c r="AB69" s="105"/>
      <x:c r="AC69" s="105"/>
      <x:c r="AD69" s="105"/>
      <x:c r="AE69" s="105"/>
      <x:c r="AF69" s="105"/>
      <x:c r="AG69" s="105"/>
      <x:c r="AH69" s="105"/>
      <x:c r="AI69" s="105"/>
      <x:c r="AJ69" s="106" t="str">
        <x:f>IF(OR(AK69="",'設定'!$B$4=""),"",AK69*'設定'!$B$4)</x:f>
      </x:c>
      <x:c r="AK69" s="106" t="str">
        <x:f>IF(OR(AH69="",AI69=""),"",AH69+AI69)</x:f>
      </x:c>
      <x:c r="AL69" s="106" t="str">
        <x:f>IF(OR(A69="",V69="",AK69="",AJ69=""),"",SUM(V69,Z69:AG69,AJ69))</x:f>
      </x:c>
      <x:c r="AM69" s="106" t="str">
        <x:f>IF(OR(AK69="",AL69=""),"",AK69-AL69)</x:f>
      </x:c>
      <x:c r="AN69" s="104" t="str">
        <x:f>IF(A69="","",IF(OR(V69="",Q69="",R69="",S69="",E69="",AK69="",AJ69=""),"STOP: 必須未確認",IF(AM69&lt;=0,"STOP: 利益なし","要承認")))</x:f>
      </x:c>
      <x:c r="AO69" s="105"/>
      <x:c r="AP69" s="105"/>
      <x:c r="AQ69" s="106" t="str">
        <x:f>IF(OR(A69="",AO69="",AP69=""),"",AO69-AP69)</x:f>
      </x:c>
      <x:c r="AR69" s="103"/>
      <x:c r="AS69" s="103"/>
      <x:c r="AT69" s="103"/>
      <x:c r="AU69" s="103"/>
      <x:c r="AV69" s="103"/>
      <x:c r="AW69" s="103"/>
      <x:c r="AX69" s="107"/>
      <x:c r="AY69" s="103"/>
      <x:c r="AZ69" s="103"/>
      <x:c r="BA69" s="103"/>
      <x:c r="BB69" s="103"/>
      <x:c r="BC69" s="107"/>
      <x:c r="BD69" s="107"/>
      <x:c r="BE69" s="107"/>
      <x:c r="BF69" s="107"/>
      <x:c r="BG69" s="103"/>
    </x:row>
    <x:row r="70" ht="20" customHeight="1">
      <x:c r="A70" s="103"/>
      <x:c r="B70" s="103"/>
      <x:c r="C70" s="103"/>
      <x:c r="D70" s="107"/>
      <x:c r="E70" s="103"/>
      <x:c r="F70" s="103"/>
      <x:c r="G70" s="107"/>
      <x:c r="H70" s="103"/>
      <x:c r="I70" s="103"/>
      <x:c r="J70" s="103"/>
      <x:c r="K70" s="103"/>
      <x:c r="L70" s="103"/>
      <x:c r="M70" s="103"/>
      <x:c r="N70" s="103"/>
      <x:c r="O70" s="103"/>
      <x:c r="P70" s="103"/>
      <x:c r="Q70" s="103"/>
      <x:c r="R70" s="103"/>
      <x:c r="S70" s="103"/>
      <x:c r="T70" s="103"/>
      <x:c r="U70" s="103"/>
      <x:c r="V70" s="105"/>
      <x:c r="W70" s="103"/>
      <x:c r="X70" s="103"/>
      <x:c r="Y70" s="107"/>
      <x:c r="Z70" s="105"/>
      <x:c r="AA70" s="105"/>
      <x:c r="AB70" s="105"/>
      <x:c r="AC70" s="105"/>
      <x:c r="AD70" s="105"/>
      <x:c r="AE70" s="105"/>
      <x:c r="AF70" s="105"/>
      <x:c r="AG70" s="105"/>
      <x:c r="AH70" s="105"/>
      <x:c r="AI70" s="105"/>
      <x:c r="AJ70" s="106" t="str">
        <x:f>IF(OR(AK70="",'設定'!$B$4=""),"",AK70*'設定'!$B$4)</x:f>
      </x:c>
      <x:c r="AK70" s="106" t="str">
        <x:f>IF(OR(AH70="",AI70=""),"",AH70+AI70)</x:f>
      </x:c>
      <x:c r="AL70" s="106" t="str">
        <x:f>IF(OR(A70="",V70="",AK70="",AJ70=""),"",SUM(V70,Z70:AG70,AJ70))</x:f>
      </x:c>
      <x:c r="AM70" s="106" t="str">
        <x:f>IF(OR(AK70="",AL70=""),"",AK70-AL70)</x:f>
      </x:c>
      <x:c r="AN70" s="104" t="str">
        <x:f>IF(A70="","",IF(OR(V70="",Q70="",R70="",S70="",E70="",AK70="",AJ70=""),"STOP: 必須未確認",IF(AM70&lt;=0,"STOP: 利益なし","要承認")))</x:f>
      </x:c>
      <x:c r="AO70" s="105"/>
      <x:c r="AP70" s="105"/>
      <x:c r="AQ70" s="106" t="str">
        <x:f>IF(OR(A70="",AO70="",AP70=""),"",AO70-AP70)</x:f>
      </x:c>
      <x:c r="AR70" s="103"/>
      <x:c r="AS70" s="103"/>
      <x:c r="AT70" s="103"/>
      <x:c r="AU70" s="103"/>
      <x:c r="AV70" s="103"/>
      <x:c r="AW70" s="103"/>
      <x:c r="AX70" s="107"/>
      <x:c r="AY70" s="103"/>
      <x:c r="AZ70" s="103"/>
      <x:c r="BA70" s="103"/>
      <x:c r="BB70" s="103"/>
      <x:c r="BC70" s="107"/>
      <x:c r="BD70" s="107"/>
      <x:c r="BE70" s="107"/>
      <x:c r="BF70" s="107"/>
      <x:c r="BG70" s="103"/>
    </x:row>
    <x:row r="71" ht="20" customHeight="1">
      <x:c r="A71" s="103"/>
      <x:c r="B71" s="103"/>
      <x:c r="C71" s="103"/>
      <x:c r="D71" s="107"/>
      <x:c r="E71" s="103"/>
      <x:c r="F71" s="103"/>
      <x:c r="G71" s="107"/>
      <x:c r="H71" s="103"/>
      <x:c r="I71" s="103"/>
      <x:c r="J71" s="103"/>
      <x:c r="K71" s="103"/>
      <x:c r="L71" s="103"/>
      <x:c r="M71" s="103"/>
      <x:c r="N71" s="103"/>
      <x:c r="O71" s="103"/>
      <x:c r="P71" s="103"/>
      <x:c r="Q71" s="103"/>
      <x:c r="R71" s="103"/>
      <x:c r="S71" s="103"/>
      <x:c r="T71" s="103"/>
      <x:c r="U71" s="103"/>
      <x:c r="V71" s="105"/>
      <x:c r="W71" s="103"/>
      <x:c r="X71" s="103"/>
      <x:c r="Y71" s="107"/>
      <x:c r="Z71" s="105"/>
      <x:c r="AA71" s="105"/>
      <x:c r="AB71" s="105"/>
      <x:c r="AC71" s="105"/>
      <x:c r="AD71" s="105"/>
      <x:c r="AE71" s="105"/>
      <x:c r="AF71" s="105"/>
      <x:c r="AG71" s="105"/>
      <x:c r="AH71" s="105"/>
      <x:c r="AI71" s="105"/>
      <x:c r="AJ71" s="106" t="str">
        <x:f>IF(OR(AK71="",'設定'!$B$4=""),"",AK71*'設定'!$B$4)</x:f>
      </x:c>
      <x:c r="AK71" s="106" t="str">
        <x:f>IF(OR(AH71="",AI71=""),"",AH71+AI71)</x:f>
      </x:c>
      <x:c r="AL71" s="106" t="str">
        <x:f>IF(OR(A71="",V71="",AK71="",AJ71=""),"",SUM(V71,Z71:AG71,AJ71))</x:f>
      </x:c>
      <x:c r="AM71" s="106" t="str">
        <x:f>IF(OR(AK71="",AL71=""),"",AK71-AL71)</x:f>
      </x:c>
      <x:c r="AN71" s="104" t="str">
        <x:f>IF(A71="","",IF(OR(V71="",Q71="",R71="",S71="",E71="",AK71="",AJ71=""),"STOP: 必須未確認",IF(AM71&lt;=0,"STOP: 利益なし","要承認")))</x:f>
      </x:c>
      <x:c r="AO71" s="105"/>
      <x:c r="AP71" s="105"/>
      <x:c r="AQ71" s="106" t="str">
        <x:f>IF(OR(A71="",AO71="",AP71=""),"",AO71-AP71)</x:f>
      </x:c>
      <x:c r="AR71" s="103"/>
      <x:c r="AS71" s="103"/>
      <x:c r="AT71" s="103"/>
      <x:c r="AU71" s="103"/>
      <x:c r="AV71" s="103"/>
      <x:c r="AW71" s="103"/>
      <x:c r="AX71" s="107"/>
      <x:c r="AY71" s="103"/>
      <x:c r="AZ71" s="103"/>
      <x:c r="BA71" s="103"/>
      <x:c r="BB71" s="103"/>
      <x:c r="BC71" s="107"/>
      <x:c r="BD71" s="107"/>
      <x:c r="BE71" s="107"/>
      <x:c r="BF71" s="107"/>
      <x:c r="BG71" s="103"/>
    </x:row>
    <x:row r="72" ht="20" customHeight="1">
      <x:c r="A72" s="103"/>
      <x:c r="B72" s="103"/>
      <x:c r="C72" s="103"/>
      <x:c r="D72" s="107"/>
      <x:c r="E72" s="103"/>
      <x:c r="F72" s="103"/>
      <x:c r="G72" s="107"/>
      <x:c r="H72" s="103"/>
      <x:c r="I72" s="103"/>
      <x:c r="J72" s="103"/>
      <x:c r="K72" s="103"/>
      <x:c r="L72" s="103"/>
      <x:c r="M72" s="103"/>
      <x:c r="N72" s="103"/>
      <x:c r="O72" s="103"/>
      <x:c r="P72" s="103"/>
      <x:c r="Q72" s="103"/>
      <x:c r="R72" s="103"/>
      <x:c r="S72" s="103"/>
      <x:c r="T72" s="103"/>
      <x:c r="U72" s="103"/>
      <x:c r="V72" s="105"/>
      <x:c r="W72" s="103"/>
      <x:c r="X72" s="103"/>
      <x:c r="Y72" s="107"/>
      <x:c r="Z72" s="105"/>
      <x:c r="AA72" s="105"/>
      <x:c r="AB72" s="105"/>
      <x:c r="AC72" s="105"/>
      <x:c r="AD72" s="105"/>
      <x:c r="AE72" s="105"/>
      <x:c r="AF72" s="105"/>
      <x:c r="AG72" s="105"/>
      <x:c r="AH72" s="105"/>
      <x:c r="AI72" s="105"/>
      <x:c r="AJ72" s="106" t="str">
        <x:f>IF(OR(AK72="",'設定'!$B$4=""),"",AK72*'設定'!$B$4)</x:f>
      </x:c>
      <x:c r="AK72" s="106" t="str">
        <x:f>IF(OR(AH72="",AI72=""),"",AH72+AI72)</x:f>
      </x:c>
      <x:c r="AL72" s="106" t="str">
        <x:f>IF(OR(A72="",V72="",AK72="",AJ72=""),"",SUM(V72,Z72:AG72,AJ72))</x:f>
      </x:c>
      <x:c r="AM72" s="106" t="str">
        <x:f>IF(OR(AK72="",AL72=""),"",AK72-AL72)</x:f>
      </x:c>
      <x:c r="AN72" s="104" t="str">
        <x:f>IF(A72="","",IF(OR(V72="",Q72="",R72="",S72="",E72="",AK72="",AJ72=""),"STOP: 必須未確認",IF(AM72&lt;=0,"STOP: 利益なし","要承認")))</x:f>
      </x:c>
      <x:c r="AO72" s="105"/>
      <x:c r="AP72" s="105"/>
      <x:c r="AQ72" s="106" t="str">
        <x:f>IF(OR(A72="",AO72="",AP72=""),"",AO72-AP72)</x:f>
      </x:c>
      <x:c r="AR72" s="103"/>
      <x:c r="AS72" s="103"/>
      <x:c r="AT72" s="103"/>
      <x:c r="AU72" s="103"/>
      <x:c r="AV72" s="103"/>
      <x:c r="AW72" s="103"/>
      <x:c r="AX72" s="107"/>
      <x:c r="AY72" s="103"/>
      <x:c r="AZ72" s="103"/>
      <x:c r="BA72" s="103"/>
      <x:c r="BB72" s="103"/>
      <x:c r="BC72" s="107"/>
      <x:c r="BD72" s="107"/>
      <x:c r="BE72" s="107"/>
      <x:c r="BF72" s="107"/>
      <x:c r="BG72" s="103"/>
    </x:row>
    <x:row r="73" ht="20" customHeight="1">
      <x:c r="A73" s="103"/>
      <x:c r="B73" s="103"/>
      <x:c r="C73" s="103"/>
      <x:c r="D73" s="107"/>
      <x:c r="E73" s="103"/>
      <x:c r="F73" s="103"/>
      <x:c r="G73" s="107"/>
      <x:c r="H73" s="103"/>
      <x:c r="I73" s="103"/>
      <x:c r="J73" s="103"/>
      <x:c r="K73" s="103"/>
      <x:c r="L73" s="103"/>
      <x:c r="M73" s="103"/>
      <x:c r="N73" s="103"/>
      <x:c r="O73" s="103"/>
      <x:c r="P73" s="103"/>
      <x:c r="Q73" s="103"/>
      <x:c r="R73" s="103"/>
      <x:c r="S73" s="103"/>
      <x:c r="T73" s="103"/>
      <x:c r="U73" s="103"/>
      <x:c r="V73" s="105"/>
      <x:c r="W73" s="103"/>
      <x:c r="X73" s="103"/>
      <x:c r="Y73" s="107"/>
      <x:c r="Z73" s="105"/>
      <x:c r="AA73" s="105"/>
      <x:c r="AB73" s="105"/>
      <x:c r="AC73" s="105"/>
      <x:c r="AD73" s="105"/>
      <x:c r="AE73" s="105"/>
      <x:c r="AF73" s="105"/>
      <x:c r="AG73" s="105"/>
      <x:c r="AH73" s="105"/>
      <x:c r="AI73" s="105"/>
      <x:c r="AJ73" s="106" t="str">
        <x:f>IF(OR(AK73="",'設定'!$B$4=""),"",AK73*'設定'!$B$4)</x:f>
      </x:c>
      <x:c r="AK73" s="106" t="str">
        <x:f>IF(OR(AH73="",AI73=""),"",AH73+AI73)</x:f>
      </x:c>
      <x:c r="AL73" s="106" t="str">
        <x:f>IF(OR(A73="",V73="",AK73="",AJ73=""),"",SUM(V73,Z73:AG73,AJ73))</x:f>
      </x:c>
      <x:c r="AM73" s="106" t="str">
        <x:f>IF(OR(AK73="",AL73=""),"",AK73-AL73)</x:f>
      </x:c>
      <x:c r="AN73" s="104" t="str">
        <x:f>IF(A73="","",IF(OR(V73="",Q73="",R73="",S73="",E73="",AK73="",AJ73=""),"STOP: 必須未確認",IF(AM73&lt;=0,"STOP: 利益なし","要承認")))</x:f>
      </x:c>
      <x:c r="AO73" s="105"/>
      <x:c r="AP73" s="105"/>
      <x:c r="AQ73" s="106" t="str">
        <x:f>IF(OR(A73="",AO73="",AP73=""),"",AO73-AP73)</x:f>
      </x:c>
      <x:c r="AR73" s="103"/>
      <x:c r="AS73" s="103"/>
      <x:c r="AT73" s="103"/>
      <x:c r="AU73" s="103"/>
      <x:c r="AV73" s="103"/>
      <x:c r="AW73" s="103"/>
      <x:c r="AX73" s="107"/>
      <x:c r="AY73" s="103"/>
      <x:c r="AZ73" s="103"/>
      <x:c r="BA73" s="103"/>
      <x:c r="BB73" s="103"/>
      <x:c r="BC73" s="107"/>
      <x:c r="BD73" s="107"/>
      <x:c r="BE73" s="107"/>
      <x:c r="BF73" s="107"/>
      <x:c r="BG73" s="103"/>
    </x:row>
    <x:row r="74" ht="20" customHeight="1">
      <x:c r="A74" s="103"/>
      <x:c r="B74" s="103"/>
      <x:c r="C74" s="103"/>
      <x:c r="D74" s="107"/>
      <x:c r="E74" s="103"/>
      <x:c r="F74" s="103"/>
      <x:c r="G74" s="107"/>
      <x:c r="H74" s="103"/>
      <x:c r="I74" s="103"/>
      <x:c r="J74" s="103"/>
      <x:c r="K74" s="103"/>
      <x:c r="L74" s="103"/>
      <x:c r="M74" s="103"/>
      <x:c r="N74" s="103"/>
      <x:c r="O74" s="103"/>
      <x:c r="P74" s="103"/>
      <x:c r="Q74" s="103"/>
      <x:c r="R74" s="103"/>
      <x:c r="S74" s="103"/>
      <x:c r="T74" s="103"/>
      <x:c r="U74" s="103"/>
      <x:c r="V74" s="105"/>
      <x:c r="W74" s="103"/>
      <x:c r="X74" s="103"/>
      <x:c r="Y74" s="107"/>
      <x:c r="Z74" s="105"/>
      <x:c r="AA74" s="105"/>
      <x:c r="AB74" s="105"/>
      <x:c r="AC74" s="105"/>
      <x:c r="AD74" s="105"/>
      <x:c r="AE74" s="105"/>
      <x:c r="AF74" s="105"/>
      <x:c r="AG74" s="105"/>
      <x:c r="AH74" s="105"/>
      <x:c r="AI74" s="105"/>
      <x:c r="AJ74" s="106" t="str">
        <x:f>IF(OR(AK74="",'設定'!$B$4=""),"",AK74*'設定'!$B$4)</x:f>
      </x:c>
      <x:c r="AK74" s="106" t="str">
        <x:f>IF(OR(AH74="",AI74=""),"",AH74+AI74)</x:f>
      </x:c>
      <x:c r="AL74" s="106" t="str">
        <x:f>IF(OR(A74="",V74="",AK74="",AJ74=""),"",SUM(V74,Z74:AG74,AJ74))</x:f>
      </x:c>
      <x:c r="AM74" s="106" t="str">
        <x:f>IF(OR(AK74="",AL74=""),"",AK74-AL74)</x:f>
      </x:c>
      <x:c r="AN74" s="104" t="str">
        <x:f>IF(A74="","",IF(OR(V74="",Q74="",R74="",S74="",E74="",AK74="",AJ74=""),"STOP: 必須未確認",IF(AM74&lt;=0,"STOP: 利益なし","要承認")))</x:f>
      </x:c>
      <x:c r="AO74" s="105"/>
      <x:c r="AP74" s="105"/>
      <x:c r="AQ74" s="106" t="str">
        <x:f>IF(OR(A74="",AO74="",AP74=""),"",AO74-AP74)</x:f>
      </x:c>
      <x:c r="AR74" s="103"/>
      <x:c r="AS74" s="103"/>
      <x:c r="AT74" s="103"/>
      <x:c r="AU74" s="103"/>
      <x:c r="AV74" s="103"/>
      <x:c r="AW74" s="103"/>
      <x:c r="AX74" s="107"/>
      <x:c r="AY74" s="103"/>
      <x:c r="AZ74" s="103"/>
      <x:c r="BA74" s="103"/>
      <x:c r="BB74" s="103"/>
      <x:c r="BC74" s="107"/>
      <x:c r="BD74" s="107"/>
      <x:c r="BE74" s="107"/>
      <x:c r="BF74" s="107"/>
      <x:c r="BG74" s="103"/>
    </x:row>
    <x:row r="75" ht="20" customHeight="1">
      <x:c r="A75" s="103"/>
      <x:c r="B75" s="103"/>
      <x:c r="C75" s="103"/>
      <x:c r="D75" s="107"/>
      <x:c r="E75" s="103"/>
      <x:c r="F75" s="103"/>
      <x:c r="G75" s="107"/>
      <x:c r="H75" s="103"/>
      <x:c r="I75" s="103"/>
      <x:c r="J75" s="103"/>
      <x:c r="K75" s="103"/>
      <x:c r="L75" s="103"/>
      <x:c r="M75" s="103"/>
      <x:c r="N75" s="103"/>
      <x:c r="O75" s="103"/>
      <x:c r="P75" s="103"/>
      <x:c r="Q75" s="103"/>
      <x:c r="R75" s="103"/>
      <x:c r="S75" s="103"/>
      <x:c r="T75" s="103"/>
      <x:c r="U75" s="103"/>
      <x:c r="V75" s="105"/>
      <x:c r="W75" s="103"/>
      <x:c r="X75" s="103"/>
      <x:c r="Y75" s="107"/>
      <x:c r="Z75" s="105"/>
      <x:c r="AA75" s="105"/>
      <x:c r="AB75" s="105"/>
      <x:c r="AC75" s="105"/>
      <x:c r="AD75" s="105"/>
      <x:c r="AE75" s="105"/>
      <x:c r="AF75" s="105"/>
      <x:c r="AG75" s="105"/>
      <x:c r="AH75" s="105"/>
      <x:c r="AI75" s="105"/>
      <x:c r="AJ75" s="106" t="str">
        <x:f>IF(OR(AK75="",'設定'!$B$4=""),"",AK75*'設定'!$B$4)</x:f>
      </x:c>
      <x:c r="AK75" s="106" t="str">
        <x:f>IF(OR(AH75="",AI75=""),"",AH75+AI75)</x:f>
      </x:c>
      <x:c r="AL75" s="106" t="str">
        <x:f>IF(OR(A75="",V75="",AK75="",AJ75=""),"",SUM(V75,Z75:AG75,AJ75))</x:f>
      </x:c>
      <x:c r="AM75" s="106" t="str">
        <x:f>IF(OR(AK75="",AL75=""),"",AK75-AL75)</x:f>
      </x:c>
      <x:c r="AN75" s="104" t="str">
        <x:f>IF(A75="","",IF(OR(V75="",Q75="",R75="",S75="",E75="",AK75="",AJ75=""),"STOP: 必須未確認",IF(AM75&lt;=0,"STOP: 利益なし","要承認")))</x:f>
      </x:c>
      <x:c r="AO75" s="105"/>
      <x:c r="AP75" s="105"/>
      <x:c r="AQ75" s="106" t="str">
        <x:f>IF(OR(A75="",AO75="",AP75=""),"",AO75-AP75)</x:f>
      </x:c>
      <x:c r="AR75" s="103"/>
      <x:c r="AS75" s="103"/>
      <x:c r="AT75" s="103"/>
      <x:c r="AU75" s="103"/>
      <x:c r="AV75" s="103"/>
      <x:c r="AW75" s="103"/>
      <x:c r="AX75" s="107"/>
      <x:c r="AY75" s="103"/>
      <x:c r="AZ75" s="103"/>
      <x:c r="BA75" s="103"/>
      <x:c r="BB75" s="103"/>
      <x:c r="BC75" s="107"/>
      <x:c r="BD75" s="107"/>
      <x:c r="BE75" s="107"/>
      <x:c r="BF75" s="107"/>
      <x:c r="BG75" s="103"/>
    </x:row>
    <x:row r="76" ht="20" customHeight="1">
      <x:c r="A76" s="103"/>
      <x:c r="B76" s="103"/>
      <x:c r="C76" s="103"/>
      <x:c r="D76" s="107"/>
      <x:c r="E76" s="103"/>
      <x:c r="F76" s="103"/>
      <x:c r="G76" s="107"/>
      <x:c r="H76" s="103"/>
      <x:c r="I76" s="103"/>
      <x:c r="J76" s="103"/>
      <x:c r="K76" s="103"/>
      <x:c r="L76" s="103"/>
      <x:c r="M76" s="103"/>
      <x:c r="N76" s="103"/>
      <x:c r="O76" s="103"/>
      <x:c r="P76" s="103"/>
      <x:c r="Q76" s="103"/>
      <x:c r="R76" s="103"/>
      <x:c r="S76" s="103"/>
      <x:c r="T76" s="103"/>
      <x:c r="U76" s="103"/>
      <x:c r="V76" s="105"/>
      <x:c r="W76" s="103"/>
      <x:c r="X76" s="103"/>
      <x:c r="Y76" s="107"/>
      <x:c r="Z76" s="105"/>
      <x:c r="AA76" s="105"/>
      <x:c r="AB76" s="105"/>
      <x:c r="AC76" s="105"/>
      <x:c r="AD76" s="105"/>
      <x:c r="AE76" s="105"/>
      <x:c r="AF76" s="105"/>
      <x:c r="AG76" s="105"/>
      <x:c r="AH76" s="105"/>
      <x:c r="AI76" s="105"/>
      <x:c r="AJ76" s="106" t="str">
        <x:f>IF(OR(AK76="",'設定'!$B$4=""),"",AK76*'設定'!$B$4)</x:f>
      </x:c>
      <x:c r="AK76" s="106" t="str">
        <x:f>IF(OR(AH76="",AI76=""),"",AH76+AI76)</x:f>
      </x:c>
      <x:c r="AL76" s="106" t="str">
        <x:f>IF(OR(A76="",V76="",AK76="",AJ76=""),"",SUM(V76,Z76:AG76,AJ76))</x:f>
      </x:c>
      <x:c r="AM76" s="106" t="str">
        <x:f>IF(OR(AK76="",AL76=""),"",AK76-AL76)</x:f>
      </x:c>
      <x:c r="AN76" s="104" t="str">
        <x:f>IF(A76="","",IF(OR(V76="",Q76="",R76="",S76="",E76="",AK76="",AJ76=""),"STOP: 必須未確認",IF(AM76&lt;=0,"STOP: 利益なし","要承認")))</x:f>
      </x:c>
      <x:c r="AO76" s="105"/>
      <x:c r="AP76" s="105"/>
      <x:c r="AQ76" s="106" t="str">
        <x:f>IF(OR(A76="",AO76="",AP76=""),"",AO76-AP76)</x:f>
      </x:c>
      <x:c r="AR76" s="103"/>
      <x:c r="AS76" s="103"/>
      <x:c r="AT76" s="103"/>
      <x:c r="AU76" s="103"/>
      <x:c r="AV76" s="103"/>
      <x:c r="AW76" s="103"/>
      <x:c r="AX76" s="107"/>
      <x:c r="AY76" s="103"/>
      <x:c r="AZ76" s="103"/>
      <x:c r="BA76" s="103"/>
      <x:c r="BB76" s="103"/>
      <x:c r="BC76" s="107"/>
      <x:c r="BD76" s="107"/>
      <x:c r="BE76" s="107"/>
      <x:c r="BF76" s="107"/>
      <x:c r="BG76" s="103"/>
    </x:row>
    <x:row r="77" ht="20" customHeight="1">
      <x:c r="A77" s="103"/>
      <x:c r="B77" s="103"/>
      <x:c r="C77" s="103"/>
      <x:c r="D77" s="107"/>
      <x:c r="E77" s="103"/>
      <x:c r="F77" s="103"/>
      <x:c r="G77" s="107"/>
      <x:c r="H77" s="103"/>
      <x:c r="I77" s="103"/>
      <x:c r="J77" s="103"/>
      <x:c r="K77" s="103"/>
      <x:c r="L77" s="103"/>
      <x:c r="M77" s="103"/>
      <x:c r="N77" s="103"/>
      <x:c r="O77" s="103"/>
      <x:c r="P77" s="103"/>
      <x:c r="Q77" s="103"/>
      <x:c r="R77" s="103"/>
      <x:c r="S77" s="103"/>
      <x:c r="T77" s="103"/>
      <x:c r="U77" s="103"/>
      <x:c r="V77" s="105"/>
      <x:c r="W77" s="103"/>
      <x:c r="X77" s="103"/>
      <x:c r="Y77" s="107"/>
      <x:c r="Z77" s="105"/>
      <x:c r="AA77" s="105"/>
      <x:c r="AB77" s="105"/>
      <x:c r="AC77" s="105"/>
      <x:c r="AD77" s="105"/>
      <x:c r="AE77" s="105"/>
      <x:c r="AF77" s="105"/>
      <x:c r="AG77" s="105"/>
      <x:c r="AH77" s="105"/>
      <x:c r="AI77" s="105"/>
      <x:c r="AJ77" s="106" t="str">
        <x:f>IF(OR(AK77="",'設定'!$B$4=""),"",AK77*'設定'!$B$4)</x:f>
      </x:c>
      <x:c r="AK77" s="106" t="str">
        <x:f>IF(OR(AH77="",AI77=""),"",AH77+AI77)</x:f>
      </x:c>
      <x:c r="AL77" s="106" t="str">
        <x:f>IF(OR(A77="",V77="",AK77="",AJ77=""),"",SUM(V77,Z77:AG77,AJ77))</x:f>
      </x:c>
      <x:c r="AM77" s="106" t="str">
        <x:f>IF(OR(AK77="",AL77=""),"",AK77-AL77)</x:f>
      </x:c>
      <x:c r="AN77" s="104" t="str">
        <x:f>IF(A77="","",IF(OR(V77="",Q77="",R77="",S77="",E77="",AK77="",AJ77=""),"STOP: 必須未確認",IF(AM77&lt;=0,"STOP: 利益なし","要承認")))</x:f>
      </x:c>
      <x:c r="AO77" s="105"/>
      <x:c r="AP77" s="105"/>
      <x:c r="AQ77" s="106" t="str">
        <x:f>IF(OR(A77="",AO77="",AP77=""),"",AO77-AP77)</x:f>
      </x:c>
      <x:c r="AR77" s="103"/>
      <x:c r="AS77" s="103"/>
      <x:c r="AT77" s="103"/>
      <x:c r="AU77" s="103"/>
      <x:c r="AV77" s="103"/>
      <x:c r="AW77" s="103"/>
      <x:c r="AX77" s="107"/>
      <x:c r="AY77" s="103"/>
      <x:c r="AZ77" s="103"/>
      <x:c r="BA77" s="103"/>
      <x:c r="BB77" s="103"/>
      <x:c r="BC77" s="107"/>
      <x:c r="BD77" s="107"/>
      <x:c r="BE77" s="107"/>
      <x:c r="BF77" s="107"/>
      <x:c r="BG77" s="103"/>
    </x:row>
    <x:row r="78" ht="20" customHeight="1">
      <x:c r="A78" s="103"/>
      <x:c r="B78" s="103"/>
      <x:c r="C78" s="103"/>
      <x:c r="D78" s="107"/>
      <x:c r="E78" s="103"/>
      <x:c r="F78" s="103"/>
      <x:c r="G78" s="107"/>
      <x:c r="H78" s="103"/>
      <x:c r="I78" s="103"/>
      <x:c r="J78" s="103"/>
      <x:c r="K78" s="103"/>
      <x:c r="L78" s="103"/>
      <x:c r="M78" s="103"/>
      <x:c r="N78" s="103"/>
      <x:c r="O78" s="103"/>
      <x:c r="P78" s="103"/>
      <x:c r="Q78" s="103"/>
      <x:c r="R78" s="103"/>
      <x:c r="S78" s="103"/>
      <x:c r="T78" s="103"/>
      <x:c r="U78" s="103"/>
      <x:c r="V78" s="105"/>
      <x:c r="W78" s="103"/>
      <x:c r="X78" s="103"/>
      <x:c r="Y78" s="107"/>
      <x:c r="Z78" s="105"/>
      <x:c r="AA78" s="105"/>
      <x:c r="AB78" s="105"/>
      <x:c r="AC78" s="105"/>
      <x:c r="AD78" s="105"/>
      <x:c r="AE78" s="105"/>
      <x:c r="AF78" s="105"/>
      <x:c r="AG78" s="105"/>
      <x:c r="AH78" s="105"/>
      <x:c r="AI78" s="105"/>
      <x:c r="AJ78" s="106" t="str">
        <x:f>IF(OR(AK78="",'設定'!$B$4=""),"",AK78*'設定'!$B$4)</x:f>
      </x:c>
      <x:c r="AK78" s="106" t="str">
        <x:f>IF(OR(AH78="",AI78=""),"",AH78+AI78)</x:f>
      </x:c>
      <x:c r="AL78" s="106" t="str">
        <x:f>IF(OR(A78="",V78="",AK78="",AJ78=""),"",SUM(V78,Z78:AG78,AJ78))</x:f>
      </x:c>
      <x:c r="AM78" s="106" t="str">
        <x:f>IF(OR(AK78="",AL78=""),"",AK78-AL78)</x:f>
      </x:c>
      <x:c r="AN78" s="104" t="str">
        <x:f>IF(A78="","",IF(OR(V78="",Q78="",R78="",S78="",E78="",AK78="",AJ78=""),"STOP: 必須未確認",IF(AM78&lt;=0,"STOP: 利益なし","要承認")))</x:f>
      </x:c>
      <x:c r="AO78" s="105"/>
      <x:c r="AP78" s="105"/>
      <x:c r="AQ78" s="106" t="str">
        <x:f>IF(OR(A78="",AO78="",AP78=""),"",AO78-AP78)</x:f>
      </x:c>
      <x:c r="AR78" s="103"/>
      <x:c r="AS78" s="103"/>
      <x:c r="AT78" s="103"/>
      <x:c r="AU78" s="103"/>
      <x:c r="AV78" s="103"/>
      <x:c r="AW78" s="103"/>
      <x:c r="AX78" s="107"/>
      <x:c r="AY78" s="103"/>
      <x:c r="AZ78" s="103"/>
      <x:c r="BA78" s="103"/>
      <x:c r="BB78" s="103"/>
      <x:c r="BC78" s="107"/>
      <x:c r="BD78" s="107"/>
      <x:c r="BE78" s="107"/>
      <x:c r="BF78" s="107"/>
      <x:c r="BG78" s="103"/>
    </x:row>
    <x:row r="79" ht="20" customHeight="1">
      <x:c r="A79" s="103"/>
      <x:c r="B79" s="103"/>
      <x:c r="C79" s="103"/>
      <x:c r="D79" s="107"/>
      <x:c r="E79" s="103"/>
      <x:c r="F79" s="103"/>
      <x:c r="G79" s="107"/>
      <x:c r="H79" s="103"/>
      <x:c r="I79" s="103"/>
      <x:c r="J79" s="103"/>
      <x:c r="K79" s="103"/>
      <x:c r="L79" s="103"/>
      <x:c r="M79" s="103"/>
      <x:c r="N79" s="103"/>
      <x:c r="O79" s="103"/>
      <x:c r="P79" s="103"/>
      <x:c r="Q79" s="103"/>
      <x:c r="R79" s="103"/>
      <x:c r="S79" s="103"/>
      <x:c r="T79" s="103"/>
      <x:c r="U79" s="103"/>
      <x:c r="V79" s="105"/>
      <x:c r="W79" s="103"/>
      <x:c r="X79" s="103"/>
      <x:c r="Y79" s="107"/>
      <x:c r="Z79" s="105"/>
      <x:c r="AA79" s="105"/>
      <x:c r="AB79" s="105"/>
      <x:c r="AC79" s="105"/>
      <x:c r="AD79" s="105"/>
      <x:c r="AE79" s="105"/>
      <x:c r="AF79" s="105"/>
      <x:c r="AG79" s="105"/>
      <x:c r="AH79" s="105"/>
      <x:c r="AI79" s="105"/>
      <x:c r="AJ79" s="106" t="str">
        <x:f>IF(OR(AK79="",'設定'!$B$4=""),"",AK79*'設定'!$B$4)</x:f>
      </x:c>
      <x:c r="AK79" s="106" t="str">
        <x:f>IF(OR(AH79="",AI79=""),"",AH79+AI79)</x:f>
      </x:c>
      <x:c r="AL79" s="106" t="str">
        <x:f>IF(OR(A79="",V79="",AK79="",AJ79=""),"",SUM(V79,Z79:AG79,AJ79))</x:f>
      </x:c>
      <x:c r="AM79" s="106" t="str">
        <x:f>IF(OR(AK79="",AL79=""),"",AK79-AL79)</x:f>
      </x:c>
      <x:c r="AN79" s="104" t="str">
        <x:f>IF(A79="","",IF(OR(V79="",Q79="",R79="",S79="",E79="",AK79="",AJ79=""),"STOP: 必須未確認",IF(AM79&lt;=0,"STOP: 利益なし","要承認")))</x:f>
      </x:c>
      <x:c r="AO79" s="105"/>
      <x:c r="AP79" s="105"/>
      <x:c r="AQ79" s="106" t="str">
        <x:f>IF(OR(A79="",AO79="",AP79=""),"",AO79-AP79)</x:f>
      </x:c>
      <x:c r="AR79" s="103"/>
      <x:c r="AS79" s="103"/>
      <x:c r="AT79" s="103"/>
      <x:c r="AU79" s="103"/>
      <x:c r="AV79" s="103"/>
      <x:c r="AW79" s="103"/>
      <x:c r="AX79" s="107"/>
      <x:c r="AY79" s="103"/>
      <x:c r="AZ79" s="103"/>
      <x:c r="BA79" s="103"/>
      <x:c r="BB79" s="103"/>
      <x:c r="BC79" s="107"/>
      <x:c r="BD79" s="107"/>
      <x:c r="BE79" s="107"/>
      <x:c r="BF79" s="107"/>
      <x:c r="BG79" s="103"/>
    </x:row>
    <x:row r="80" ht="20" customHeight="1">
      <x:c r="A80" s="103"/>
      <x:c r="B80" s="103"/>
      <x:c r="C80" s="103"/>
      <x:c r="D80" s="107"/>
      <x:c r="E80" s="103"/>
      <x:c r="F80" s="103"/>
      <x:c r="G80" s="107"/>
      <x:c r="H80" s="103"/>
      <x:c r="I80" s="103"/>
      <x:c r="J80" s="103"/>
      <x:c r="K80" s="103"/>
      <x:c r="L80" s="103"/>
      <x:c r="M80" s="103"/>
      <x:c r="N80" s="103"/>
      <x:c r="O80" s="103"/>
      <x:c r="P80" s="103"/>
      <x:c r="Q80" s="103"/>
      <x:c r="R80" s="103"/>
      <x:c r="S80" s="103"/>
      <x:c r="T80" s="103"/>
      <x:c r="U80" s="103"/>
      <x:c r="V80" s="105"/>
      <x:c r="W80" s="103"/>
      <x:c r="X80" s="103"/>
      <x:c r="Y80" s="107"/>
      <x:c r="Z80" s="105"/>
      <x:c r="AA80" s="105"/>
      <x:c r="AB80" s="105"/>
      <x:c r="AC80" s="105"/>
      <x:c r="AD80" s="105"/>
      <x:c r="AE80" s="105"/>
      <x:c r="AF80" s="105"/>
      <x:c r="AG80" s="105"/>
      <x:c r="AH80" s="105"/>
      <x:c r="AI80" s="105"/>
      <x:c r="AJ80" s="106" t="str">
        <x:f>IF(OR(AK80="",'設定'!$B$4=""),"",AK80*'設定'!$B$4)</x:f>
      </x:c>
      <x:c r="AK80" s="106" t="str">
        <x:f>IF(OR(AH80="",AI80=""),"",AH80+AI80)</x:f>
      </x:c>
      <x:c r="AL80" s="106" t="str">
        <x:f>IF(OR(A80="",V80="",AK80="",AJ80=""),"",SUM(V80,Z80:AG80,AJ80))</x:f>
      </x:c>
      <x:c r="AM80" s="106" t="str">
        <x:f>IF(OR(AK80="",AL80=""),"",AK80-AL80)</x:f>
      </x:c>
      <x:c r="AN80" s="104" t="str">
        <x:f>IF(A80="","",IF(OR(V80="",Q80="",R80="",S80="",E80="",AK80="",AJ80=""),"STOP: 必須未確認",IF(AM80&lt;=0,"STOP: 利益なし","要承認")))</x:f>
      </x:c>
      <x:c r="AO80" s="105"/>
      <x:c r="AP80" s="105"/>
      <x:c r="AQ80" s="106" t="str">
        <x:f>IF(OR(A80="",AO80="",AP80=""),"",AO80-AP80)</x:f>
      </x:c>
      <x:c r="AR80" s="103"/>
      <x:c r="AS80" s="103"/>
      <x:c r="AT80" s="103"/>
      <x:c r="AU80" s="103"/>
      <x:c r="AV80" s="103"/>
      <x:c r="AW80" s="103"/>
      <x:c r="AX80" s="107"/>
      <x:c r="AY80" s="103"/>
      <x:c r="AZ80" s="103"/>
      <x:c r="BA80" s="103"/>
      <x:c r="BB80" s="103"/>
      <x:c r="BC80" s="107"/>
      <x:c r="BD80" s="107"/>
      <x:c r="BE80" s="107"/>
      <x:c r="BF80" s="107"/>
      <x:c r="BG80" s="103"/>
    </x:row>
    <x:row r="81" ht="20" customHeight="1">
      <x:c r="A81" s="103"/>
      <x:c r="B81" s="103"/>
      <x:c r="C81" s="103"/>
      <x:c r="D81" s="107"/>
      <x:c r="E81" s="103"/>
      <x:c r="F81" s="103"/>
      <x:c r="G81" s="107"/>
      <x:c r="H81" s="103"/>
      <x:c r="I81" s="103"/>
      <x:c r="J81" s="103"/>
      <x:c r="K81" s="103"/>
      <x:c r="L81" s="103"/>
      <x:c r="M81" s="103"/>
      <x:c r="N81" s="103"/>
      <x:c r="O81" s="103"/>
      <x:c r="P81" s="103"/>
      <x:c r="Q81" s="103"/>
      <x:c r="R81" s="103"/>
      <x:c r="S81" s="103"/>
      <x:c r="T81" s="103"/>
      <x:c r="U81" s="103"/>
      <x:c r="V81" s="105"/>
      <x:c r="W81" s="103"/>
      <x:c r="X81" s="103"/>
      <x:c r="Y81" s="107"/>
      <x:c r="Z81" s="105"/>
      <x:c r="AA81" s="105"/>
      <x:c r="AB81" s="105"/>
      <x:c r="AC81" s="105"/>
      <x:c r="AD81" s="105"/>
      <x:c r="AE81" s="105"/>
      <x:c r="AF81" s="105"/>
      <x:c r="AG81" s="105"/>
      <x:c r="AH81" s="105"/>
      <x:c r="AI81" s="105"/>
      <x:c r="AJ81" s="106" t="str">
        <x:f>IF(OR(AK81="",'設定'!$B$4=""),"",AK81*'設定'!$B$4)</x:f>
      </x:c>
      <x:c r="AK81" s="106" t="str">
        <x:f>IF(OR(AH81="",AI81=""),"",AH81+AI81)</x:f>
      </x:c>
      <x:c r="AL81" s="106" t="str">
        <x:f>IF(OR(A81="",V81="",AK81="",AJ81=""),"",SUM(V81,Z81:AG81,AJ81))</x:f>
      </x:c>
      <x:c r="AM81" s="106" t="str">
        <x:f>IF(OR(AK81="",AL81=""),"",AK81-AL81)</x:f>
      </x:c>
      <x:c r="AN81" s="104" t="str">
        <x:f>IF(A81="","",IF(OR(V81="",Q81="",R81="",S81="",E81="",AK81="",AJ81=""),"STOP: 必須未確認",IF(AM81&lt;=0,"STOP: 利益なし","要承認")))</x:f>
      </x:c>
      <x:c r="AO81" s="105"/>
      <x:c r="AP81" s="105"/>
      <x:c r="AQ81" s="106" t="str">
        <x:f>IF(OR(A81="",AO81="",AP81=""),"",AO81-AP81)</x:f>
      </x:c>
      <x:c r="AR81" s="103"/>
      <x:c r="AS81" s="103"/>
      <x:c r="AT81" s="103"/>
      <x:c r="AU81" s="103"/>
      <x:c r="AV81" s="103"/>
      <x:c r="AW81" s="103"/>
      <x:c r="AX81" s="107"/>
      <x:c r="AY81" s="103"/>
      <x:c r="AZ81" s="103"/>
      <x:c r="BA81" s="103"/>
      <x:c r="BB81" s="103"/>
      <x:c r="BC81" s="107"/>
      <x:c r="BD81" s="107"/>
      <x:c r="BE81" s="107"/>
      <x:c r="BF81" s="107"/>
      <x:c r="BG81" s="103"/>
    </x:row>
    <x:row r="82" ht="20" customHeight="1">
      <x:c r="A82" s="103"/>
      <x:c r="B82" s="103"/>
      <x:c r="C82" s="103"/>
      <x:c r="D82" s="107"/>
      <x:c r="E82" s="103"/>
      <x:c r="F82" s="103"/>
      <x:c r="G82" s="107"/>
      <x:c r="H82" s="103"/>
      <x:c r="I82" s="103"/>
      <x:c r="J82" s="103"/>
      <x:c r="K82" s="103"/>
      <x:c r="L82" s="103"/>
      <x:c r="M82" s="103"/>
      <x:c r="N82" s="103"/>
      <x:c r="O82" s="103"/>
      <x:c r="P82" s="103"/>
      <x:c r="Q82" s="103"/>
      <x:c r="R82" s="103"/>
      <x:c r="S82" s="103"/>
      <x:c r="T82" s="103"/>
      <x:c r="U82" s="103"/>
      <x:c r="V82" s="105"/>
      <x:c r="W82" s="103"/>
      <x:c r="X82" s="103"/>
      <x:c r="Y82" s="107"/>
      <x:c r="Z82" s="105"/>
      <x:c r="AA82" s="105"/>
      <x:c r="AB82" s="105"/>
      <x:c r="AC82" s="105"/>
      <x:c r="AD82" s="105"/>
      <x:c r="AE82" s="105"/>
      <x:c r="AF82" s="105"/>
      <x:c r="AG82" s="105"/>
      <x:c r="AH82" s="105"/>
      <x:c r="AI82" s="105"/>
      <x:c r="AJ82" s="106" t="str">
        <x:f>IF(OR(AK82="",'設定'!$B$4=""),"",AK82*'設定'!$B$4)</x:f>
      </x:c>
      <x:c r="AK82" s="106" t="str">
        <x:f>IF(OR(AH82="",AI82=""),"",AH82+AI82)</x:f>
      </x:c>
      <x:c r="AL82" s="106" t="str">
        <x:f>IF(OR(A82="",V82="",AK82="",AJ82=""),"",SUM(V82,Z82:AG82,AJ82))</x:f>
      </x:c>
      <x:c r="AM82" s="106" t="str">
        <x:f>IF(OR(AK82="",AL82=""),"",AK82-AL82)</x:f>
      </x:c>
      <x:c r="AN82" s="104" t="str">
        <x:f>IF(A82="","",IF(OR(V82="",Q82="",R82="",S82="",E82="",AK82="",AJ82=""),"STOP: 必須未確認",IF(AM82&lt;=0,"STOP: 利益なし","要承認")))</x:f>
      </x:c>
      <x:c r="AO82" s="105"/>
      <x:c r="AP82" s="105"/>
      <x:c r="AQ82" s="106" t="str">
        <x:f>IF(OR(A82="",AO82="",AP82=""),"",AO82-AP82)</x:f>
      </x:c>
      <x:c r="AR82" s="103"/>
      <x:c r="AS82" s="103"/>
      <x:c r="AT82" s="103"/>
      <x:c r="AU82" s="103"/>
      <x:c r="AV82" s="103"/>
      <x:c r="AW82" s="103"/>
      <x:c r="AX82" s="107"/>
      <x:c r="AY82" s="103"/>
      <x:c r="AZ82" s="103"/>
      <x:c r="BA82" s="103"/>
      <x:c r="BB82" s="103"/>
      <x:c r="BC82" s="107"/>
      <x:c r="BD82" s="107"/>
      <x:c r="BE82" s="107"/>
      <x:c r="BF82" s="107"/>
      <x:c r="BG82" s="103"/>
    </x:row>
    <x:row r="83" ht="20" customHeight="1">
      <x:c r="A83" s="103"/>
      <x:c r="B83" s="103"/>
      <x:c r="C83" s="103"/>
      <x:c r="D83" s="107"/>
      <x:c r="E83" s="103"/>
      <x:c r="F83" s="103"/>
      <x:c r="G83" s="107"/>
      <x:c r="H83" s="103"/>
      <x:c r="I83" s="103"/>
      <x:c r="J83" s="103"/>
      <x:c r="K83" s="103"/>
      <x:c r="L83" s="103"/>
      <x:c r="M83" s="103"/>
      <x:c r="N83" s="103"/>
      <x:c r="O83" s="103"/>
      <x:c r="P83" s="103"/>
      <x:c r="Q83" s="103"/>
      <x:c r="R83" s="103"/>
      <x:c r="S83" s="103"/>
      <x:c r="T83" s="103"/>
      <x:c r="U83" s="103"/>
      <x:c r="V83" s="105"/>
      <x:c r="W83" s="103"/>
      <x:c r="X83" s="103"/>
      <x:c r="Y83" s="107"/>
      <x:c r="Z83" s="105"/>
      <x:c r="AA83" s="105"/>
      <x:c r="AB83" s="105"/>
      <x:c r="AC83" s="105"/>
      <x:c r="AD83" s="105"/>
      <x:c r="AE83" s="105"/>
      <x:c r="AF83" s="105"/>
      <x:c r="AG83" s="105"/>
      <x:c r="AH83" s="105"/>
      <x:c r="AI83" s="105"/>
      <x:c r="AJ83" s="106" t="str">
        <x:f>IF(OR(AK83="",'設定'!$B$4=""),"",AK83*'設定'!$B$4)</x:f>
      </x:c>
      <x:c r="AK83" s="106" t="str">
        <x:f>IF(OR(AH83="",AI83=""),"",AH83+AI83)</x:f>
      </x:c>
      <x:c r="AL83" s="106" t="str">
        <x:f>IF(OR(A83="",V83="",AK83="",AJ83=""),"",SUM(V83,Z83:AG83,AJ83))</x:f>
      </x:c>
      <x:c r="AM83" s="106" t="str">
        <x:f>IF(OR(AK83="",AL83=""),"",AK83-AL83)</x:f>
      </x:c>
      <x:c r="AN83" s="104" t="str">
        <x:f>IF(A83="","",IF(OR(V83="",Q83="",R83="",S83="",E83="",AK83="",AJ83=""),"STOP: 必須未確認",IF(AM83&lt;=0,"STOP: 利益なし","要承認")))</x:f>
      </x:c>
      <x:c r="AO83" s="105"/>
      <x:c r="AP83" s="105"/>
      <x:c r="AQ83" s="106" t="str">
        <x:f>IF(OR(A83="",AO83="",AP83=""),"",AO83-AP83)</x:f>
      </x:c>
      <x:c r="AR83" s="103"/>
      <x:c r="AS83" s="103"/>
      <x:c r="AT83" s="103"/>
      <x:c r="AU83" s="103"/>
      <x:c r="AV83" s="103"/>
      <x:c r="AW83" s="103"/>
      <x:c r="AX83" s="107"/>
      <x:c r="AY83" s="103"/>
      <x:c r="AZ83" s="103"/>
      <x:c r="BA83" s="103"/>
      <x:c r="BB83" s="103"/>
      <x:c r="BC83" s="107"/>
      <x:c r="BD83" s="107"/>
      <x:c r="BE83" s="107"/>
      <x:c r="BF83" s="107"/>
      <x:c r="BG83" s="103"/>
    </x:row>
    <x:row r="84" ht="20" customHeight="1">
      <x:c r="A84" s="103"/>
      <x:c r="B84" s="103"/>
      <x:c r="C84" s="103"/>
      <x:c r="D84" s="107"/>
      <x:c r="E84" s="103"/>
      <x:c r="F84" s="103"/>
      <x:c r="G84" s="107"/>
      <x:c r="H84" s="103"/>
      <x:c r="I84" s="103"/>
      <x:c r="J84" s="103"/>
      <x:c r="K84" s="103"/>
      <x:c r="L84" s="103"/>
      <x:c r="M84" s="103"/>
      <x:c r="N84" s="103"/>
      <x:c r="O84" s="103"/>
      <x:c r="P84" s="103"/>
      <x:c r="Q84" s="103"/>
      <x:c r="R84" s="103"/>
      <x:c r="S84" s="103"/>
      <x:c r="T84" s="103"/>
      <x:c r="U84" s="103"/>
      <x:c r="V84" s="105"/>
      <x:c r="W84" s="103"/>
      <x:c r="X84" s="103"/>
      <x:c r="Y84" s="107"/>
      <x:c r="Z84" s="105"/>
      <x:c r="AA84" s="105"/>
      <x:c r="AB84" s="105"/>
      <x:c r="AC84" s="105"/>
      <x:c r="AD84" s="105"/>
      <x:c r="AE84" s="105"/>
      <x:c r="AF84" s="105"/>
      <x:c r="AG84" s="105"/>
      <x:c r="AH84" s="105"/>
      <x:c r="AI84" s="105"/>
      <x:c r="AJ84" s="106" t="str">
        <x:f>IF(OR(AK84="",'設定'!$B$4=""),"",AK84*'設定'!$B$4)</x:f>
      </x:c>
      <x:c r="AK84" s="106" t="str">
        <x:f>IF(OR(AH84="",AI84=""),"",AH84+AI84)</x:f>
      </x:c>
      <x:c r="AL84" s="106" t="str">
        <x:f>IF(OR(A84="",V84="",AK84="",AJ84=""),"",SUM(V84,Z84:AG84,AJ84))</x:f>
      </x:c>
      <x:c r="AM84" s="106" t="str">
        <x:f>IF(OR(AK84="",AL84=""),"",AK84-AL84)</x:f>
      </x:c>
      <x:c r="AN84" s="104" t="str">
        <x:f>IF(A84="","",IF(OR(V84="",Q84="",R84="",S84="",E84="",AK84="",AJ84=""),"STOP: 必須未確認",IF(AM84&lt;=0,"STOP: 利益なし","要承認")))</x:f>
      </x:c>
      <x:c r="AO84" s="105"/>
      <x:c r="AP84" s="105"/>
      <x:c r="AQ84" s="106" t="str">
        <x:f>IF(OR(A84="",AO84="",AP84=""),"",AO84-AP84)</x:f>
      </x:c>
      <x:c r="AR84" s="103"/>
      <x:c r="AS84" s="103"/>
      <x:c r="AT84" s="103"/>
      <x:c r="AU84" s="103"/>
      <x:c r="AV84" s="103"/>
      <x:c r="AW84" s="103"/>
      <x:c r="AX84" s="107"/>
      <x:c r="AY84" s="103"/>
      <x:c r="AZ84" s="103"/>
      <x:c r="BA84" s="103"/>
      <x:c r="BB84" s="103"/>
      <x:c r="BC84" s="107"/>
      <x:c r="BD84" s="107"/>
      <x:c r="BE84" s="107"/>
      <x:c r="BF84" s="107"/>
      <x:c r="BG84" s="103"/>
    </x:row>
    <x:row r="85" ht="20" customHeight="1">
      <x:c r="A85" s="103"/>
      <x:c r="B85" s="103"/>
      <x:c r="C85" s="103"/>
      <x:c r="D85" s="107"/>
      <x:c r="E85" s="103"/>
      <x:c r="F85" s="103"/>
      <x:c r="G85" s="107"/>
      <x:c r="H85" s="103"/>
      <x:c r="I85" s="103"/>
      <x:c r="J85" s="103"/>
      <x:c r="K85" s="103"/>
      <x:c r="L85" s="103"/>
      <x:c r="M85" s="103"/>
      <x:c r="N85" s="103"/>
      <x:c r="O85" s="103"/>
      <x:c r="P85" s="103"/>
      <x:c r="Q85" s="103"/>
      <x:c r="R85" s="103"/>
      <x:c r="S85" s="103"/>
      <x:c r="T85" s="103"/>
      <x:c r="U85" s="103"/>
      <x:c r="V85" s="105"/>
      <x:c r="W85" s="103"/>
      <x:c r="X85" s="103"/>
      <x:c r="Y85" s="107"/>
      <x:c r="Z85" s="105"/>
      <x:c r="AA85" s="105"/>
      <x:c r="AB85" s="105"/>
      <x:c r="AC85" s="105"/>
      <x:c r="AD85" s="105"/>
      <x:c r="AE85" s="105"/>
      <x:c r="AF85" s="105"/>
      <x:c r="AG85" s="105"/>
      <x:c r="AH85" s="105"/>
      <x:c r="AI85" s="105"/>
      <x:c r="AJ85" s="106" t="str">
        <x:f>IF(OR(AK85="",'設定'!$B$4=""),"",AK85*'設定'!$B$4)</x:f>
      </x:c>
      <x:c r="AK85" s="106" t="str">
        <x:f>IF(OR(AH85="",AI85=""),"",AH85+AI85)</x:f>
      </x:c>
      <x:c r="AL85" s="106" t="str">
        <x:f>IF(OR(A85="",V85="",AK85="",AJ85=""),"",SUM(V85,Z85:AG85,AJ85))</x:f>
      </x:c>
      <x:c r="AM85" s="106" t="str">
        <x:f>IF(OR(AK85="",AL85=""),"",AK85-AL85)</x:f>
      </x:c>
      <x:c r="AN85" s="104" t="str">
        <x:f>IF(A85="","",IF(OR(V85="",Q85="",R85="",S85="",E85="",AK85="",AJ85=""),"STOP: 必須未確認",IF(AM85&lt;=0,"STOP: 利益なし","要承認")))</x:f>
      </x:c>
      <x:c r="AO85" s="105"/>
      <x:c r="AP85" s="105"/>
      <x:c r="AQ85" s="106" t="str">
        <x:f>IF(OR(A85="",AO85="",AP85=""),"",AO85-AP85)</x:f>
      </x:c>
      <x:c r="AR85" s="103"/>
      <x:c r="AS85" s="103"/>
      <x:c r="AT85" s="103"/>
      <x:c r="AU85" s="103"/>
      <x:c r="AV85" s="103"/>
      <x:c r="AW85" s="103"/>
      <x:c r="AX85" s="107"/>
      <x:c r="AY85" s="103"/>
      <x:c r="AZ85" s="103"/>
      <x:c r="BA85" s="103"/>
      <x:c r="BB85" s="103"/>
      <x:c r="BC85" s="107"/>
      <x:c r="BD85" s="107"/>
      <x:c r="BE85" s="107"/>
      <x:c r="BF85" s="107"/>
      <x:c r="BG85" s="103"/>
    </x:row>
    <x:row r="86" ht="20" customHeight="1">
      <x:c r="A86" s="103"/>
      <x:c r="B86" s="103"/>
      <x:c r="C86" s="103"/>
      <x:c r="D86" s="107"/>
      <x:c r="E86" s="103"/>
      <x:c r="F86" s="103"/>
      <x:c r="G86" s="107"/>
      <x:c r="H86" s="103"/>
      <x:c r="I86" s="103"/>
      <x:c r="J86" s="103"/>
      <x:c r="K86" s="103"/>
      <x:c r="L86" s="103"/>
      <x:c r="M86" s="103"/>
      <x:c r="N86" s="103"/>
      <x:c r="O86" s="103"/>
      <x:c r="P86" s="103"/>
      <x:c r="Q86" s="103"/>
      <x:c r="R86" s="103"/>
      <x:c r="S86" s="103"/>
      <x:c r="T86" s="103"/>
      <x:c r="U86" s="103"/>
      <x:c r="V86" s="105"/>
      <x:c r="W86" s="103"/>
      <x:c r="X86" s="103"/>
      <x:c r="Y86" s="107"/>
      <x:c r="Z86" s="105"/>
      <x:c r="AA86" s="105"/>
      <x:c r="AB86" s="105"/>
      <x:c r="AC86" s="105"/>
      <x:c r="AD86" s="105"/>
      <x:c r="AE86" s="105"/>
      <x:c r="AF86" s="105"/>
      <x:c r="AG86" s="105"/>
      <x:c r="AH86" s="105"/>
      <x:c r="AI86" s="105"/>
      <x:c r="AJ86" s="106" t="str">
        <x:f>IF(OR(AK86="",'設定'!$B$4=""),"",AK86*'設定'!$B$4)</x:f>
      </x:c>
      <x:c r="AK86" s="106" t="str">
        <x:f>IF(OR(AH86="",AI86=""),"",AH86+AI86)</x:f>
      </x:c>
      <x:c r="AL86" s="106" t="str">
        <x:f>IF(OR(A86="",V86="",AK86="",AJ86=""),"",SUM(V86,Z86:AG86,AJ86))</x:f>
      </x:c>
      <x:c r="AM86" s="106" t="str">
        <x:f>IF(OR(AK86="",AL86=""),"",AK86-AL86)</x:f>
      </x:c>
      <x:c r="AN86" s="104" t="str">
        <x:f>IF(A86="","",IF(OR(V86="",Q86="",R86="",S86="",E86="",AK86="",AJ86=""),"STOP: 必須未確認",IF(AM86&lt;=0,"STOP: 利益なし","要承認")))</x:f>
      </x:c>
      <x:c r="AO86" s="105"/>
      <x:c r="AP86" s="105"/>
      <x:c r="AQ86" s="106" t="str">
        <x:f>IF(OR(A86="",AO86="",AP86=""),"",AO86-AP86)</x:f>
      </x:c>
      <x:c r="AR86" s="103"/>
      <x:c r="AS86" s="103"/>
      <x:c r="AT86" s="103"/>
      <x:c r="AU86" s="103"/>
      <x:c r="AV86" s="103"/>
      <x:c r="AW86" s="103"/>
      <x:c r="AX86" s="107"/>
      <x:c r="AY86" s="103"/>
      <x:c r="AZ86" s="103"/>
      <x:c r="BA86" s="103"/>
      <x:c r="BB86" s="103"/>
      <x:c r="BC86" s="107"/>
      <x:c r="BD86" s="107"/>
      <x:c r="BE86" s="107"/>
      <x:c r="BF86" s="107"/>
      <x:c r="BG86" s="103"/>
    </x:row>
    <x:row r="87" ht="20" customHeight="1">
      <x:c r="A87" s="103"/>
      <x:c r="B87" s="103"/>
      <x:c r="C87" s="103"/>
      <x:c r="D87" s="107"/>
      <x:c r="E87" s="103"/>
      <x:c r="F87" s="103"/>
      <x:c r="G87" s="107"/>
      <x:c r="H87" s="103"/>
      <x:c r="I87" s="103"/>
      <x:c r="J87" s="103"/>
      <x:c r="K87" s="103"/>
      <x:c r="L87" s="103"/>
      <x:c r="M87" s="103"/>
      <x:c r="N87" s="103"/>
      <x:c r="O87" s="103"/>
      <x:c r="P87" s="103"/>
      <x:c r="Q87" s="103"/>
      <x:c r="R87" s="103"/>
      <x:c r="S87" s="103"/>
      <x:c r="T87" s="103"/>
      <x:c r="U87" s="103"/>
      <x:c r="V87" s="105"/>
      <x:c r="W87" s="103"/>
      <x:c r="X87" s="103"/>
      <x:c r="Y87" s="107"/>
      <x:c r="Z87" s="105"/>
      <x:c r="AA87" s="105"/>
      <x:c r="AB87" s="105"/>
      <x:c r="AC87" s="105"/>
      <x:c r="AD87" s="105"/>
      <x:c r="AE87" s="105"/>
      <x:c r="AF87" s="105"/>
      <x:c r="AG87" s="105"/>
      <x:c r="AH87" s="105"/>
      <x:c r="AI87" s="105"/>
      <x:c r="AJ87" s="106" t="str">
        <x:f>IF(OR(AK87="",'設定'!$B$4=""),"",AK87*'設定'!$B$4)</x:f>
      </x:c>
      <x:c r="AK87" s="106" t="str">
        <x:f>IF(OR(AH87="",AI87=""),"",AH87+AI87)</x:f>
      </x:c>
      <x:c r="AL87" s="106" t="str">
        <x:f>IF(OR(A87="",V87="",AK87="",AJ87=""),"",SUM(V87,Z87:AG87,AJ87))</x:f>
      </x:c>
      <x:c r="AM87" s="106" t="str">
        <x:f>IF(OR(AK87="",AL87=""),"",AK87-AL87)</x:f>
      </x:c>
      <x:c r="AN87" s="104" t="str">
        <x:f>IF(A87="","",IF(OR(V87="",Q87="",R87="",S87="",E87="",AK87="",AJ87=""),"STOP: 必須未確認",IF(AM87&lt;=0,"STOP: 利益なし","要承認")))</x:f>
      </x:c>
      <x:c r="AO87" s="105"/>
      <x:c r="AP87" s="105"/>
      <x:c r="AQ87" s="106" t="str">
        <x:f>IF(OR(A87="",AO87="",AP87=""),"",AO87-AP87)</x:f>
      </x:c>
      <x:c r="AR87" s="103"/>
      <x:c r="AS87" s="103"/>
      <x:c r="AT87" s="103"/>
      <x:c r="AU87" s="103"/>
      <x:c r="AV87" s="103"/>
      <x:c r="AW87" s="103"/>
      <x:c r="AX87" s="107"/>
      <x:c r="AY87" s="103"/>
      <x:c r="AZ87" s="103"/>
      <x:c r="BA87" s="103"/>
      <x:c r="BB87" s="103"/>
      <x:c r="BC87" s="107"/>
      <x:c r="BD87" s="107"/>
      <x:c r="BE87" s="107"/>
      <x:c r="BF87" s="107"/>
      <x:c r="BG87" s="103"/>
    </x:row>
    <x:row r="88" ht="20" customHeight="1">
      <x:c r="A88" s="103"/>
      <x:c r="B88" s="103"/>
      <x:c r="C88" s="103"/>
      <x:c r="D88" s="107"/>
      <x:c r="E88" s="103"/>
      <x:c r="F88" s="103"/>
      <x:c r="G88" s="107"/>
      <x:c r="H88" s="103"/>
      <x:c r="I88" s="103"/>
      <x:c r="J88" s="103"/>
      <x:c r="K88" s="103"/>
      <x:c r="L88" s="103"/>
      <x:c r="M88" s="103"/>
      <x:c r="N88" s="103"/>
      <x:c r="O88" s="103"/>
      <x:c r="P88" s="103"/>
      <x:c r="Q88" s="103"/>
      <x:c r="R88" s="103"/>
      <x:c r="S88" s="103"/>
      <x:c r="T88" s="103"/>
      <x:c r="U88" s="103"/>
      <x:c r="V88" s="105"/>
      <x:c r="W88" s="103"/>
      <x:c r="X88" s="103"/>
      <x:c r="Y88" s="107"/>
      <x:c r="Z88" s="105"/>
      <x:c r="AA88" s="105"/>
      <x:c r="AB88" s="105"/>
      <x:c r="AC88" s="105"/>
      <x:c r="AD88" s="105"/>
      <x:c r="AE88" s="105"/>
      <x:c r="AF88" s="105"/>
      <x:c r="AG88" s="105"/>
      <x:c r="AH88" s="105"/>
      <x:c r="AI88" s="105"/>
      <x:c r="AJ88" s="106" t="str">
        <x:f>IF(OR(AK88="",'設定'!$B$4=""),"",AK88*'設定'!$B$4)</x:f>
      </x:c>
      <x:c r="AK88" s="106" t="str">
        <x:f>IF(OR(AH88="",AI88=""),"",AH88+AI88)</x:f>
      </x:c>
      <x:c r="AL88" s="106" t="str">
        <x:f>IF(OR(A88="",V88="",AK88="",AJ88=""),"",SUM(V88,Z88:AG88,AJ88))</x:f>
      </x:c>
      <x:c r="AM88" s="106" t="str">
        <x:f>IF(OR(AK88="",AL88=""),"",AK88-AL88)</x:f>
      </x:c>
      <x:c r="AN88" s="104" t="str">
        <x:f>IF(A88="","",IF(OR(V88="",Q88="",R88="",S88="",E88="",AK88="",AJ88=""),"STOP: 必須未確認",IF(AM88&lt;=0,"STOP: 利益なし","要承認")))</x:f>
      </x:c>
      <x:c r="AO88" s="105"/>
      <x:c r="AP88" s="105"/>
      <x:c r="AQ88" s="106" t="str">
        <x:f>IF(OR(A88="",AO88="",AP88=""),"",AO88-AP88)</x:f>
      </x:c>
      <x:c r="AR88" s="103"/>
      <x:c r="AS88" s="103"/>
      <x:c r="AT88" s="103"/>
      <x:c r="AU88" s="103"/>
      <x:c r="AV88" s="103"/>
      <x:c r="AW88" s="103"/>
      <x:c r="AX88" s="107"/>
      <x:c r="AY88" s="103"/>
      <x:c r="AZ88" s="103"/>
      <x:c r="BA88" s="103"/>
      <x:c r="BB88" s="103"/>
      <x:c r="BC88" s="107"/>
      <x:c r="BD88" s="107"/>
      <x:c r="BE88" s="107"/>
      <x:c r="BF88" s="107"/>
      <x:c r="BG88" s="103"/>
    </x:row>
    <x:row r="89" ht="20" customHeight="1">
      <x:c r="A89" s="103"/>
      <x:c r="B89" s="103"/>
      <x:c r="C89" s="103"/>
      <x:c r="D89" s="107"/>
      <x:c r="E89" s="103"/>
      <x:c r="F89" s="103"/>
      <x:c r="G89" s="107"/>
      <x:c r="H89" s="103"/>
      <x:c r="I89" s="103"/>
      <x:c r="J89" s="103"/>
      <x:c r="K89" s="103"/>
      <x:c r="L89" s="103"/>
      <x:c r="M89" s="103"/>
      <x:c r="N89" s="103"/>
      <x:c r="O89" s="103"/>
      <x:c r="P89" s="103"/>
      <x:c r="Q89" s="103"/>
      <x:c r="R89" s="103"/>
      <x:c r="S89" s="103"/>
      <x:c r="T89" s="103"/>
      <x:c r="U89" s="103"/>
      <x:c r="V89" s="105"/>
      <x:c r="W89" s="103"/>
      <x:c r="X89" s="103"/>
      <x:c r="Y89" s="107"/>
      <x:c r="Z89" s="105"/>
      <x:c r="AA89" s="105"/>
      <x:c r="AB89" s="105"/>
      <x:c r="AC89" s="105"/>
      <x:c r="AD89" s="105"/>
      <x:c r="AE89" s="105"/>
      <x:c r="AF89" s="105"/>
      <x:c r="AG89" s="105"/>
      <x:c r="AH89" s="105"/>
      <x:c r="AI89" s="105"/>
      <x:c r="AJ89" s="106" t="str">
        <x:f>IF(OR(AK89="",'設定'!$B$4=""),"",AK89*'設定'!$B$4)</x:f>
      </x:c>
      <x:c r="AK89" s="106" t="str">
        <x:f>IF(OR(AH89="",AI89=""),"",AH89+AI89)</x:f>
      </x:c>
      <x:c r="AL89" s="106" t="str">
        <x:f>IF(OR(A89="",V89="",AK89="",AJ89=""),"",SUM(V89,Z89:AG89,AJ89))</x:f>
      </x:c>
      <x:c r="AM89" s="106" t="str">
        <x:f>IF(OR(AK89="",AL89=""),"",AK89-AL89)</x:f>
      </x:c>
      <x:c r="AN89" s="104" t="str">
        <x:f>IF(A89="","",IF(OR(V89="",Q89="",R89="",S89="",E89="",AK89="",AJ89=""),"STOP: 必須未確認",IF(AM89&lt;=0,"STOP: 利益なし","要承認")))</x:f>
      </x:c>
      <x:c r="AO89" s="105"/>
      <x:c r="AP89" s="105"/>
      <x:c r="AQ89" s="106" t="str">
        <x:f>IF(OR(A89="",AO89="",AP89=""),"",AO89-AP89)</x:f>
      </x:c>
      <x:c r="AR89" s="103"/>
      <x:c r="AS89" s="103"/>
      <x:c r="AT89" s="103"/>
      <x:c r="AU89" s="103"/>
      <x:c r="AV89" s="103"/>
      <x:c r="AW89" s="103"/>
      <x:c r="AX89" s="107"/>
      <x:c r="AY89" s="103"/>
      <x:c r="AZ89" s="103"/>
      <x:c r="BA89" s="103"/>
      <x:c r="BB89" s="103"/>
      <x:c r="BC89" s="107"/>
      <x:c r="BD89" s="107"/>
      <x:c r="BE89" s="107"/>
      <x:c r="BF89" s="107"/>
      <x:c r="BG89" s="103"/>
    </x:row>
    <x:row r="90" ht="20" customHeight="1">
      <x:c r="A90" s="103"/>
      <x:c r="B90" s="103"/>
      <x:c r="C90" s="103"/>
      <x:c r="D90" s="107"/>
      <x:c r="E90" s="103"/>
      <x:c r="F90" s="103"/>
      <x:c r="G90" s="107"/>
      <x:c r="H90" s="103"/>
      <x:c r="I90" s="103"/>
      <x:c r="J90" s="103"/>
      <x:c r="K90" s="103"/>
      <x:c r="L90" s="103"/>
      <x:c r="M90" s="103"/>
      <x:c r="N90" s="103"/>
      <x:c r="O90" s="103"/>
      <x:c r="P90" s="103"/>
      <x:c r="Q90" s="103"/>
      <x:c r="R90" s="103"/>
      <x:c r="S90" s="103"/>
      <x:c r="T90" s="103"/>
      <x:c r="U90" s="103"/>
      <x:c r="V90" s="105"/>
      <x:c r="W90" s="103"/>
      <x:c r="X90" s="103"/>
      <x:c r="Y90" s="107"/>
      <x:c r="Z90" s="105"/>
      <x:c r="AA90" s="105"/>
      <x:c r="AB90" s="105"/>
      <x:c r="AC90" s="105"/>
      <x:c r="AD90" s="105"/>
      <x:c r="AE90" s="105"/>
      <x:c r="AF90" s="105"/>
      <x:c r="AG90" s="105"/>
      <x:c r="AH90" s="105"/>
      <x:c r="AI90" s="105"/>
      <x:c r="AJ90" s="106" t="str">
        <x:f>IF(OR(AK90="",'設定'!$B$4=""),"",AK90*'設定'!$B$4)</x:f>
      </x:c>
      <x:c r="AK90" s="106" t="str">
        <x:f>IF(OR(AH90="",AI90=""),"",AH90+AI90)</x:f>
      </x:c>
      <x:c r="AL90" s="106" t="str">
        <x:f>IF(OR(A90="",V90="",AK90="",AJ90=""),"",SUM(V90,Z90:AG90,AJ90))</x:f>
      </x:c>
      <x:c r="AM90" s="106" t="str">
        <x:f>IF(OR(AK90="",AL90=""),"",AK90-AL90)</x:f>
      </x:c>
      <x:c r="AN90" s="104" t="str">
        <x:f>IF(A90="","",IF(OR(V90="",Q90="",R90="",S90="",E90="",AK90="",AJ90=""),"STOP: 必須未確認",IF(AM90&lt;=0,"STOP: 利益なし","要承認")))</x:f>
      </x:c>
      <x:c r="AO90" s="105"/>
      <x:c r="AP90" s="105"/>
      <x:c r="AQ90" s="106" t="str">
        <x:f>IF(OR(A90="",AO90="",AP90=""),"",AO90-AP90)</x:f>
      </x:c>
      <x:c r="AR90" s="103"/>
      <x:c r="AS90" s="103"/>
      <x:c r="AT90" s="103"/>
      <x:c r="AU90" s="103"/>
      <x:c r="AV90" s="103"/>
      <x:c r="AW90" s="103"/>
      <x:c r="AX90" s="107"/>
      <x:c r="AY90" s="103"/>
      <x:c r="AZ90" s="103"/>
      <x:c r="BA90" s="103"/>
      <x:c r="BB90" s="103"/>
      <x:c r="BC90" s="107"/>
      <x:c r="BD90" s="107"/>
      <x:c r="BE90" s="107"/>
      <x:c r="BF90" s="107"/>
      <x:c r="BG90" s="103"/>
    </x:row>
    <x:row r="91" ht="20" customHeight="1">
      <x:c r="A91" s="103"/>
      <x:c r="B91" s="103"/>
      <x:c r="C91" s="103"/>
      <x:c r="D91" s="107"/>
      <x:c r="E91" s="103"/>
      <x:c r="F91" s="103"/>
      <x:c r="G91" s="107"/>
      <x:c r="H91" s="103"/>
      <x:c r="I91" s="103"/>
      <x:c r="J91" s="103"/>
      <x:c r="K91" s="103"/>
      <x:c r="L91" s="103"/>
      <x:c r="M91" s="103"/>
      <x:c r="N91" s="103"/>
      <x:c r="O91" s="103"/>
      <x:c r="P91" s="103"/>
      <x:c r="Q91" s="103"/>
      <x:c r="R91" s="103"/>
      <x:c r="S91" s="103"/>
      <x:c r="T91" s="103"/>
      <x:c r="U91" s="103"/>
      <x:c r="V91" s="105"/>
      <x:c r="W91" s="103"/>
      <x:c r="X91" s="103"/>
      <x:c r="Y91" s="107"/>
      <x:c r="Z91" s="105"/>
      <x:c r="AA91" s="105"/>
      <x:c r="AB91" s="105"/>
      <x:c r="AC91" s="105"/>
      <x:c r="AD91" s="105"/>
      <x:c r="AE91" s="105"/>
      <x:c r="AF91" s="105"/>
      <x:c r="AG91" s="105"/>
      <x:c r="AH91" s="105"/>
      <x:c r="AI91" s="105"/>
      <x:c r="AJ91" s="106" t="str">
        <x:f>IF(OR(AK91="",'設定'!$B$4=""),"",AK91*'設定'!$B$4)</x:f>
      </x:c>
      <x:c r="AK91" s="106" t="str">
        <x:f>IF(OR(AH91="",AI91=""),"",AH91+AI91)</x:f>
      </x:c>
      <x:c r="AL91" s="106" t="str">
        <x:f>IF(OR(A91="",V91="",AK91="",AJ91=""),"",SUM(V91,Z91:AG91,AJ91))</x:f>
      </x:c>
      <x:c r="AM91" s="106" t="str">
        <x:f>IF(OR(AK91="",AL91=""),"",AK91-AL91)</x:f>
      </x:c>
      <x:c r="AN91" s="104" t="str">
        <x:f>IF(A91="","",IF(OR(V91="",Q91="",R91="",S91="",E91="",AK91="",AJ91=""),"STOP: 必須未確認",IF(AM91&lt;=0,"STOP: 利益なし","要承認")))</x:f>
      </x:c>
      <x:c r="AO91" s="105"/>
      <x:c r="AP91" s="105"/>
      <x:c r="AQ91" s="106" t="str">
        <x:f>IF(OR(A91="",AO91="",AP91=""),"",AO91-AP91)</x:f>
      </x:c>
      <x:c r="AR91" s="103"/>
      <x:c r="AS91" s="103"/>
      <x:c r="AT91" s="103"/>
      <x:c r="AU91" s="103"/>
      <x:c r="AV91" s="103"/>
      <x:c r="AW91" s="103"/>
      <x:c r="AX91" s="107"/>
      <x:c r="AY91" s="103"/>
      <x:c r="AZ91" s="103"/>
      <x:c r="BA91" s="103"/>
      <x:c r="BB91" s="103"/>
      <x:c r="BC91" s="107"/>
      <x:c r="BD91" s="107"/>
      <x:c r="BE91" s="107"/>
      <x:c r="BF91" s="107"/>
      <x:c r="BG91" s="103"/>
    </x:row>
    <x:row r="92" ht="20" customHeight="1">
      <x:c r="A92" s="103"/>
      <x:c r="B92" s="103"/>
      <x:c r="C92" s="103"/>
      <x:c r="D92" s="107"/>
      <x:c r="E92" s="103"/>
      <x:c r="F92" s="103"/>
      <x:c r="G92" s="107"/>
      <x:c r="H92" s="103"/>
      <x:c r="I92" s="103"/>
      <x:c r="J92" s="103"/>
      <x:c r="K92" s="103"/>
      <x:c r="L92" s="103"/>
      <x:c r="M92" s="103"/>
      <x:c r="N92" s="103"/>
      <x:c r="O92" s="103"/>
      <x:c r="P92" s="103"/>
      <x:c r="Q92" s="103"/>
      <x:c r="R92" s="103"/>
      <x:c r="S92" s="103"/>
      <x:c r="T92" s="103"/>
      <x:c r="U92" s="103"/>
      <x:c r="V92" s="105"/>
      <x:c r="W92" s="103"/>
      <x:c r="X92" s="103"/>
      <x:c r="Y92" s="107"/>
      <x:c r="Z92" s="105"/>
      <x:c r="AA92" s="105"/>
      <x:c r="AB92" s="105"/>
      <x:c r="AC92" s="105"/>
      <x:c r="AD92" s="105"/>
      <x:c r="AE92" s="105"/>
      <x:c r="AF92" s="105"/>
      <x:c r="AG92" s="105"/>
      <x:c r="AH92" s="105"/>
      <x:c r="AI92" s="105"/>
      <x:c r="AJ92" s="106" t="str">
        <x:f>IF(OR(AK92="",'設定'!$B$4=""),"",AK92*'設定'!$B$4)</x:f>
      </x:c>
      <x:c r="AK92" s="106" t="str">
        <x:f>IF(OR(AH92="",AI92=""),"",AH92+AI92)</x:f>
      </x:c>
      <x:c r="AL92" s="106" t="str">
        <x:f>IF(OR(A92="",V92="",AK92="",AJ92=""),"",SUM(V92,Z92:AG92,AJ92))</x:f>
      </x:c>
      <x:c r="AM92" s="106" t="str">
        <x:f>IF(OR(AK92="",AL92=""),"",AK92-AL92)</x:f>
      </x:c>
      <x:c r="AN92" s="104" t="str">
        <x:f>IF(A92="","",IF(OR(V92="",Q92="",R92="",S92="",E92="",AK92="",AJ92=""),"STOP: 必須未確認",IF(AM92&lt;=0,"STOP: 利益なし","要承認")))</x:f>
      </x:c>
      <x:c r="AO92" s="105"/>
      <x:c r="AP92" s="105"/>
      <x:c r="AQ92" s="106" t="str">
        <x:f>IF(OR(A92="",AO92="",AP92=""),"",AO92-AP92)</x:f>
      </x:c>
      <x:c r="AR92" s="103"/>
      <x:c r="AS92" s="103"/>
      <x:c r="AT92" s="103"/>
      <x:c r="AU92" s="103"/>
      <x:c r="AV92" s="103"/>
      <x:c r="AW92" s="103"/>
      <x:c r="AX92" s="107"/>
      <x:c r="AY92" s="103"/>
      <x:c r="AZ92" s="103"/>
      <x:c r="BA92" s="103"/>
      <x:c r="BB92" s="103"/>
      <x:c r="BC92" s="107"/>
      <x:c r="BD92" s="107"/>
      <x:c r="BE92" s="107"/>
      <x:c r="BF92" s="107"/>
      <x:c r="BG92" s="103"/>
    </x:row>
    <x:row r="93" ht="20" customHeight="1">
      <x:c r="A93" s="103"/>
      <x:c r="B93" s="103"/>
      <x:c r="C93" s="103"/>
      <x:c r="D93" s="107"/>
      <x:c r="E93" s="103"/>
      <x:c r="F93" s="103"/>
      <x:c r="G93" s="107"/>
      <x:c r="H93" s="103"/>
      <x:c r="I93" s="103"/>
      <x:c r="J93" s="103"/>
      <x:c r="K93" s="103"/>
      <x:c r="L93" s="103"/>
      <x:c r="M93" s="103"/>
      <x:c r="N93" s="103"/>
      <x:c r="O93" s="103"/>
      <x:c r="P93" s="103"/>
      <x:c r="Q93" s="103"/>
      <x:c r="R93" s="103"/>
      <x:c r="S93" s="103"/>
      <x:c r="T93" s="103"/>
      <x:c r="U93" s="103"/>
      <x:c r="V93" s="105"/>
      <x:c r="W93" s="103"/>
      <x:c r="X93" s="103"/>
      <x:c r="Y93" s="107"/>
      <x:c r="Z93" s="105"/>
      <x:c r="AA93" s="105"/>
      <x:c r="AB93" s="105"/>
      <x:c r="AC93" s="105"/>
      <x:c r="AD93" s="105"/>
      <x:c r="AE93" s="105"/>
      <x:c r="AF93" s="105"/>
      <x:c r="AG93" s="105"/>
      <x:c r="AH93" s="105"/>
      <x:c r="AI93" s="105"/>
      <x:c r="AJ93" s="106" t="str">
        <x:f>IF(OR(AK93="",'設定'!$B$4=""),"",AK93*'設定'!$B$4)</x:f>
      </x:c>
      <x:c r="AK93" s="106" t="str">
        <x:f>IF(OR(AH93="",AI93=""),"",AH93+AI93)</x:f>
      </x:c>
      <x:c r="AL93" s="106" t="str">
        <x:f>IF(OR(A93="",V93="",AK93="",AJ93=""),"",SUM(V93,Z93:AG93,AJ93))</x:f>
      </x:c>
      <x:c r="AM93" s="106" t="str">
        <x:f>IF(OR(AK93="",AL93=""),"",AK93-AL93)</x:f>
      </x:c>
      <x:c r="AN93" s="104" t="str">
        <x:f>IF(A93="","",IF(OR(V93="",Q93="",R93="",S93="",E93="",AK93="",AJ93=""),"STOP: 必須未確認",IF(AM93&lt;=0,"STOP: 利益なし","要承認")))</x:f>
      </x:c>
      <x:c r="AO93" s="105"/>
      <x:c r="AP93" s="105"/>
      <x:c r="AQ93" s="106" t="str">
        <x:f>IF(OR(A93="",AO93="",AP93=""),"",AO93-AP93)</x:f>
      </x:c>
      <x:c r="AR93" s="103"/>
      <x:c r="AS93" s="103"/>
      <x:c r="AT93" s="103"/>
      <x:c r="AU93" s="103"/>
      <x:c r="AV93" s="103"/>
      <x:c r="AW93" s="103"/>
      <x:c r="AX93" s="107"/>
      <x:c r="AY93" s="103"/>
      <x:c r="AZ93" s="103"/>
      <x:c r="BA93" s="103"/>
      <x:c r="BB93" s="103"/>
      <x:c r="BC93" s="107"/>
      <x:c r="BD93" s="107"/>
      <x:c r="BE93" s="107"/>
      <x:c r="BF93" s="107"/>
      <x:c r="BG93" s="103"/>
    </x:row>
    <x:row r="94" ht="20" customHeight="1">
      <x:c r="A94" s="103"/>
      <x:c r="B94" s="103"/>
      <x:c r="C94" s="103"/>
      <x:c r="D94" s="107"/>
      <x:c r="E94" s="103"/>
      <x:c r="F94" s="103"/>
      <x:c r="G94" s="107"/>
      <x:c r="H94" s="103"/>
      <x:c r="I94" s="103"/>
      <x:c r="J94" s="103"/>
      <x:c r="K94" s="103"/>
      <x:c r="L94" s="103"/>
      <x:c r="M94" s="103"/>
      <x:c r="N94" s="103"/>
      <x:c r="O94" s="103"/>
      <x:c r="P94" s="103"/>
      <x:c r="Q94" s="103"/>
      <x:c r="R94" s="103"/>
      <x:c r="S94" s="103"/>
      <x:c r="T94" s="103"/>
      <x:c r="U94" s="103"/>
      <x:c r="V94" s="105"/>
      <x:c r="W94" s="103"/>
      <x:c r="X94" s="103"/>
      <x:c r="Y94" s="107"/>
      <x:c r="Z94" s="105"/>
      <x:c r="AA94" s="105"/>
      <x:c r="AB94" s="105"/>
      <x:c r="AC94" s="105"/>
      <x:c r="AD94" s="105"/>
      <x:c r="AE94" s="105"/>
      <x:c r="AF94" s="105"/>
      <x:c r="AG94" s="105"/>
      <x:c r="AH94" s="105"/>
      <x:c r="AI94" s="105"/>
      <x:c r="AJ94" s="106" t="str">
        <x:f>IF(OR(AK94="",'設定'!$B$4=""),"",AK94*'設定'!$B$4)</x:f>
      </x:c>
      <x:c r="AK94" s="106" t="str">
        <x:f>IF(OR(AH94="",AI94=""),"",AH94+AI94)</x:f>
      </x:c>
      <x:c r="AL94" s="106" t="str">
        <x:f>IF(OR(A94="",V94="",AK94="",AJ94=""),"",SUM(V94,Z94:AG94,AJ94))</x:f>
      </x:c>
      <x:c r="AM94" s="106" t="str">
        <x:f>IF(OR(AK94="",AL94=""),"",AK94-AL94)</x:f>
      </x:c>
      <x:c r="AN94" s="104" t="str">
        <x:f>IF(A94="","",IF(OR(V94="",Q94="",R94="",S94="",E94="",AK94="",AJ94=""),"STOP: 必須未確認",IF(AM94&lt;=0,"STOP: 利益なし","要承認")))</x:f>
      </x:c>
      <x:c r="AO94" s="105"/>
      <x:c r="AP94" s="105"/>
      <x:c r="AQ94" s="106" t="str">
        <x:f>IF(OR(A94="",AO94="",AP94=""),"",AO94-AP94)</x:f>
      </x:c>
      <x:c r="AR94" s="103"/>
      <x:c r="AS94" s="103"/>
      <x:c r="AT94" s="103"/>
      <x:c r="AU94" s="103"/>
      <x:c r="AV94" s="103"/>
      <x:c r="AW94" s="103"/>
      <x:c r="AX94" s="107"/>
      <x:c r="AY94" s="103"/>
      <x:c r="AZ94" s="103"/>
      <x:c r="BA94" s="103"/>
      <x:c r="BB94" s="103"/>
      <x:c r="BC94" s="107"/>
      <x:c r="BD94" s="107"/>
      <x:c r="BE94" s="107"/>
      <x:c r="BF94" s="107"/>
      <x:c r="BG94" s="103"/>
    </x:row>
    <x:row r="95" ht="20" customHeight="1">
      <x:c r="A95" s="103"/>
      <x:c r="B95" s="103"/>
      <x:c r="C95" s="103"/>
      <x:c r="D95" s="107"/>
      <x:c r="E95" s="103"/>
      <x:c r="F95" s="103"/>
      <x:c r="G95" s="107"/>
      <x:c r="H95" s="103"/>
      <x:c r="I95" s="103"/>
      <x:c r="J95" s="103"/>
      <x:c r="K95" s="103"/>
      <x:c r="L95" s="103"/>
      <x:c r="M95" s="103"/>
      <x:c r="N95" s="103"/>
      <x:c r="O95" s="103"/>
      <x:c r="P95" s="103"/>
      <x:c r="Q95" s="103"/>
      <x:c r="R95" s="103"/>
      <x:c r="S95" s="103"/>
      <x:c r="T95" s="103"/>
      <x:c r="U95" s="103"/>
      <x:c r="V95" s="105"/>
      <x:c r="W95" s="103"/>
      <x:c r="X95" s="103"/>
      <x:c r="Y95" s="107"/>
      <x:c r="Z95" s="105"/>
      <x:c r="AA95" s="105"/>
      <x:c r="AB95" s="105"/>
      <x:c r="AC95" s="105"/>
      <x:c r="AD95" s="105"/>
      <x:c r="AE95" s="105"/>
      <x:c r="AF95" s="105"/>
      <x:c r="AG95" s="105"/>
      <x:c r="AH95" s="105"/>
      <x:c r="AI95" s="105"/>
      <x:c r="AJ95" s="106" t="str">
        <x:f>IF(OR(AK95="",'設定'!$B$4=""),"",AK95*'設定'!$B$4)</x:f>
      </x:c>
      <x:c r="AK95" s="106" t="str">
        <x:f>IF(OR(AH95="",AI95=""),"",AH95+AI95)</x:f>
      </x:c>
      <x:c r="AL95" s="106" t="str">
        <x:f>IF(OR(A95="",V95="",AK95="",AJ95=""),"",SUM(V95,Z95:AG95,AJ95))</x:f>
      </x:c>
      <x:c r="AM95" s="106" t="str">
        <x:f>IF(OR(AK95="",AL95=""),"",AK95-AL95)</x:f>
      </x:c>
      <x:c r="AN95" s="104" t="str">
        <x:f>IF(A95="","",IF(OR(V95="",Q95="",R95="",S95="",E95="",AK95="",AJ95=""),"STOP: 必須未確認",IF(AM95&lt;=0,"STOP: 利益なし","要承認")))</x:f>
      </x:c>
      <x:c r="AO95" s="105"/>
      <x:c r="AP95" s="105"/>
      <x:c r="AQ95" s="106" t="str">
        <x:f>IF(OR(A95="",AO95="",AP95=""),"",AO95-AP95)</x:f>
      </x:c>
      <x:c r="AR95" s="103"/>
      <x:c r="AS95" s="103"/>
      <x:c r="AT95" s="103"/>
      <x:c r="AU95" s="103"/>
      <x:c r="AV95" s="103"/>
      <x:c r="AW95" s="103"/>
      <x:c r="AX95" s="107"/>
      <x:c r="AY95" s="103"/>
      <x:c r="AZ95" s="103"/>
      <x:c r="BA95" s="103"/>
      <x:c r="BB95" s="103"/>
      <x:c r="BC95" s="107"/>
      <x:c r="BD95" s="107"/>
      <x:c r="BE95" s="107"/>
      <x:c r="BF95" s="107"/>
      <x:c r="BG95" s="103"/>
    </x:row>
    <x:row r="96" ht="20" customHeight="1">
      <x:c r="A96" s="103"/>
      <x:c r="B96" s="103"/>
      <x:c r="C96" s="103"/>
      <x:c r="D96" s="107"/>
      <x:c r="E96" s="103"/>
      <x:c r="F96" s="103"/>
      <x:c r="G96" s="107"/>
      <x:c r="H96" s="103"/>
      <x:c r="I96" s="103"/>
      <x:c r="J96" s="103"/>
      <x:c r="K96" s="103"/>
      <x:c r="L96" s="103"/>
      <x:c r="M96" s="103"/>
      <x:c r="N96" s="103"/>
      <x:c r="O96" s="103"/>
      <x:c r="P96" s="103"/>
      <x:c r="Q96" s="103"/>
      <x:c r="R96" s="103"/>
      <x:c r="S96" s="103"/>
      <x:c r="T96" s="103"/>
      <x:c r="U96" s="103"/>
      <x:c r="V96" s="105"/>
      <x:c r="W96" s="103"/>
      <x:c r="X96" s="103"/>
      <x:c r="Y96" s="107"/>
      <x:c r="Z96" s="105"/>
      <x:c r="AA96" s="105"/>
      <x:c r="AB96" s="105"/>
      <x:c r="AC96" s="105"/>
      <x:c r="AD96" s="105"/>
      <x:c r="AE96" s="105"/>
      <x:c r="AF96" s="105"/>
      <x:c r="AG96" s="105"/>
      <x:c r="AH96" s="105"/>
      <x:c r="AI96" s="105"/>
      <x:c r="AJ96" s="106" t="str">
        <x:f>IF(OR(AK96="",'設定'!$B$4=""),"",AK96*'設定'!$B$4)</x:f>
      </x:c>
      <x:c r="AK96" s="106" t="str">
        <x:f>IF(OR(AH96="",AI96=""),"",AH96+AI96)</x:f>
      </x:c>
      <x:c r="AL96" s="106" t="str">
        <x:f>IF(OR(A96="",V96="",AK96="",AJ96=""),"",SUM(V96,Z96:AG96,AJ96))</x:f>
      </x:c>
      <x:c r="AM96" s="106" t="str">
        <x:f>IF(OR(AK96="",AL96=""),"",AK96-AL96)</x:f>
      </x:c>
      <x:c r="AN96" s="104" t="str">
        <x:f>IF(A96="","",IF(OR(V96="",Q96="",R96="",S96="",E96="",AK96="",AJ96=""),"STOP: 必須未確認",IF(AM96&lt;=0,"STOP: 利益なし","要承認")))</x:f>
      </x:c>
      <x:c r="AO96" s="105"/>
      <x:c r="AP96" s="105"/>
      <x:c r="AQ96" s="106" t="str">
        <x:f>IF(OR(A96="",AO96="",AP96=""),"",AO96-AP96)</x:f>
      </x:c>
      <x:c r="AR96" s="103"/>
      <x:c r="AS96" s="103"/>
      <x:c r="AT96" s="103"/>
      <x:c r="AU96" s="103"/>
      <x:c r="AV96" s="103"/>
      <x:c r="AW96" s="103"/>
      <x:c r="AX96" s="107"/>
      <x:c r="AY96" s="103"/>
      <x:c r="AZ96" s="103"/>
      <x:c r="BA96" s="103"/>
      <x:c r="BB96" s="103"/>
      <x:c r="BC96" s="107"/>
      <x:c r="BD96" s="107"/>
      <x:c r="BE96" s="107"/>
      <x:c r="BF96" s="107"/>
      <x:c r="BG96" s="103"/>
    </x:row>
    <x:row r="97" ht="20" customHeight="1">
      <x:c r="A97" s="103"/>
      <x:c r="B97" s="103"/>
      <x:c r="C97" s="103"/>
      <x:c r="D97" s="107"/>
      <x:c r="E97" s="103"/>
      <x:c r="F97" s="103"/>
      <x:c r="G97" s="107"/>
      <x:c r="H97" s="103"/>
      <x:c r="I97" s="103"/>
      <x:c r="J97" s="103"/>
      <x:c r="K97" s="103"/>
      <x:c r="L97" s="103"/>
      <x:c r="M97" s="103"/>
      <x:c r="N97" s="103"/>
      <x:c r="O97" s="103"/>
      <x:c r="P97" s="103"/>
      <x:c r="Q97" s="103"/>
      <x:c r="R97" s="103"/>
      <x:c r="S97" s="103"/>
      <x:c r="T97" s="103"/>
      <x:c r="U97" s="103"/>
      <x:c r="V97" s="105"/>
      <x:c r="W97" s="103"/>
      <x:c r="X97" s="103"/>
      <x:c r="Y97" s="107"/>
      <x:c r="Z97" s="105"/>
      <x:c r="AA97" s="105"/>
      <x:c r="AB97" s="105"/>
      <x:c r="AC97" s="105"/>
      <x:c r="AD97" s="105"/>
      <x:c r="AE97" s="105"/>
      <x:c r="AF97" s="105"/>
      <x:c r="AG97" s="105"/>
      <x:c r="AH97" s="105"/>
      <x:c r="AI97" s="105"/>
      <x:c r="AJ97" s="106" t="str">
        <x:f>IF(OR(AK97="",'設定'!$B$4=""),"",AK97*'設定'!$B$4)</x:f>
      </x:c>
      <x:c r="AK97" s="106" t="str">
        <x:f>IF(OR(AH97="",AI97=""),"",AH97+AI97)</x:f>
      </x:c>
      <x:c r="AL97" s="106" t="str">
        <x:f>IF(OR(A97="",V97="",AK97="",AJ97=""),"",SUM(V97,Z97:AG97,AJ97))</x:f>
      </x:c>
      <x:c r="AM97" s="106" t="str">
        <x:f>IF(OR(AK97="",AL97=""),"",AK97-AL97)</x:f>
      </x:c>
      <x:c r="AN97" s="104" t="str">
        <x:f>IF(A97="","",IF(OR(V97="",Q97="",R97="",S97="",E97="",AK97="",AJ97=""),"STOP: 必須未確認",IF(AM97&lt;=0,"STOP: 利益なし","要承認")))</x:f>
      </x:c>
      <x:c r="AO97" s="105"/>
      <x:c r="AP97" s="105"/>
      <x:c r="AQ97" s="106" t="str">
        <x:f>IF(OR(A97="",AO97="",AP97=""),"",AO97-AP97)</x:f>
      </x:c>
      <x:c r="AR97" s="103"/>
      <x:c r="AS97" s="103"/>
      <x:c r="AT97" s="103"/>
      <x:c r="AU97" s="103"/>
      <x:c r="AV97" s="103"/>
      <x:c r="AW97" s="103"/>
      <x:c r="AX97" s="107"/>
      <x:c r="AY97" s="103"/>
      <x:c r="AZ97" s="103"/>
      <x:c r="BA97" s="103"/>
      <x:c r="BB97" s="103"/>
      <x:c r="BC97" s="107"/>
      <x:c r="BD97" s="107"/>
      <x:c r="BE97" s="107"/>
      <x:c r="BF97" s="107"/>
      <x:c r="BG97" s="103"/>
    </x:row>
    <x:row r="98" ht="20" customHeight="1">
      <x:c r="A98" s="103"/>
      <x:c r="B98" s="103"/>
      <x:c r="C98" s="103"/>
      <x:c r="D98" s="107"/>
      <x:c r="E98" s="103"/>
      <x:c r="F98" s="103"/>
      <x:c r="G98" s="107"/>
      <x:c r="H98" s="103"/>
      <x:c r="I98" s="103"/>
      <x:c r="J98" s="103"/>
      <x:c r="K98" s="103"/>
      <x:c r="L98" s="103"/>
      <x:c r="M98" s="103"/>
      <x:c r="N98" s="103"/>
      <x:c r="O98" s="103"/>
      <x:c r="P98" s="103"/>
      <x:c r="Q98" s="103"/>
      <x:c r="R98" s="103"/>
      <x:c r="S98" s="103"/>
      <x:c r="T98" s="103"/>
      <x:c r="U98" s="103"/>
      <x:c r="V98" s="105"/>
      <x:c r="W98" s="103"/>
      <x:c r="X98" s="103"/>
      <x:c r="Y98" s="107"/>
      <x:c r="Z98" s="105"/>
      <x:c r="AA98" s="105"/>
      <x:c r="AB98" s="105"/>
      <x:c r="AC98" s="105"/>
      <x:c r="AD98" s="105"/>
      <x:c r="AE98" s="105"/>
      <x:c r="AF98" s="105"/>
      <x:c r="AG98" s="105"/>
      <x:c r="AH98" s="105"/>
      <x:c r="AI98" s="105"/>
      <x:c r="AJ98" s="106" t="str">
        <x:f>IF(OR(AK98="",'設定'!$B$4=""),"",AK98*'設定'!$B$4)</x:f>
      </x:c>
      <x:c r="AK98" s="106" t="str">
        <x:f>IF(OR(AH98="",AI98=""),"",AH98+AI98)</x:f>
      </x:c>
      <x:c r="AL98" s="106" t="str">
        <x:f>IF(OR(A98="",V98="",AK98="",AJ98=""),"",SUM(V98,Z98:AG98,AJ98))</x:f>
      </x:c>
      <x:c r="AM98" s="106" t="str">
        <x:f>IF(OR(AK98="",AL98=""),"",AK98-AL98)</x:f>
      </x:c>
      <x:c r="AN98" s="104" t="str">
        <x:f>IF(A98="","",IF(OR(V98="",Q98="",R98="",S98="",E98="",AK98="",AJ98=""),"STOP: 必須未確認",IF(AM98&lt;=0,"STOP: 利益なし","要承認")))</x:f>
      </x:c>
      <x:c r="AO98" s="105"/>
      <x:c r="AP98" s="105"/>
      <x:c r="AQ98" s="106" t="str">
        <x:f>IF(OR(A98="",AO98="",AP98=""),"",AO98-AP98)</x:f>
      </x:c>
      <x:c r="AR98" s="103"/>
      <x:c r="AS98" s="103"/>
      <x:c r="AT98" s="103"/>
      <x:c r="AU98" s="103"/>
      <x:c r="AV98" s="103"/>
      <x:c r="AW98" s="103"/>
      <x:c r="AX98" s="107"/>
      <x:c r="AY98" s="103"/>
      <x:c r="AZ98" s="103"/>
      <x:c r="BA98" s="103"/>
      <x:c r="BB98" s="103"/>
      <x:c r="BC98" s="107"/>
      <x:c r="BD98" s="107"/>
      <x:c r="BE98" s="107"/>
      <x:c r="BF98" s="107"/>
      <x:c r="BG98" s="103"/>
    </x:row>
    <x:row r="99" ht="20" customHeight="1">
      <x:c r="A99" s="103"/>
      <x:c r="B99" s="103"/>
      <x:c r="C99" s="103"/>
      <x:c r="D99" s="107"/>
      <x:c r="E99" s="103"/>
      <x:c r="F99" s="103"/>
      <x:c r="G99" s="107"/>
      <x:c r="H99" s="103"/>
      <x:c r="I99" s="103"/>
      <x:c r="J99" s="103"/>
      <x:c r="K99" s="103"/>
      <x:c r="L99" s="103"/>
      <x:c r="M99" s="103"/>
      <x:c r="N99" s="103"/>
      <x:c r="O99" s="103"/>
      <x:c r="P99" s="103"/>
      <x:c r="Q99" s="103"/>
      <x:c r="R99" s="103"/>
      <x:c r="S99" s="103"/>
      <x:c r="T99" s="103"/>
      <x:c r="U99" s="103"/>
      <x:c r="V99" s="105"/>
      <x:c r="W99" s="103"/>
      <x:c r="X99" s="103"/>
      <x:c r="Y99" s="107"/>
      <x:c r="Z99" s="105"/>
      <x:c r="AA99" s="105"/>
      <x:c r="AB99" s="105"/>
      <x:c r="AC99" s="105"/>
      <x:c r="AD99" s="105"/>
      <x:c r="AE99" s="105"/>
      <x:c r="AF99" s="105"/>
      <x:c r="AG99" s="105"/>
      <x:c r="AH99" s="105"/>
      <x:c r="AI99" s="105"/>
      <x:c r="AJ99" s="106" t="str">
        <x:f>IF(OR(AK99="",'設定'!$B$4=""),"",AK99*'設定'!$B$4)</x:f>
      </x:c>
      <x:c r="AK99" s="106" t="str">
        <x:f>IF(OR(AH99="",AI99=""),"",AH99+AI99)</x:f>
      </x:c>
      <x:c r="AL99" s="106" t="str">
        <x:f>IF(OR(A99="",V99="",AK99="",AJ99=""),"",SUM(V99,Z99:AG99,AJ99))</x:f>
      </x:c>
      <x:c r="AM99" s="106" t="str">
        <x:f>IF(OR(AK99="",AL99=""),"",AK99-AL99)</x:f>
      </x:c>
      <x:c r="AN99" s="104" t="str">
        <x:f>IF(A99="","",IF(OR(V99="",Q99="",R99="",S99="",E99="",AK99="",AJ99=""),"STOP: 必須未確認",IF(AM99&lt;=0,"STOP: 利益なし","要承認")))</x:f>
      </x:c>
      <x:c r="AO99" s="105"/>
      <x:c r="AP99" s="105"/>
      <x:c r="AQ99" s="106" t="str">
        <x:f>IF(OR(A99="",AO99="",AP99=""),"",AO99-AP99)</x:f>
      </x:c>
      <x:c r="AR99" s="103"/>
      <x:c r="AS99" s="103"/>
      <x:c r="AT99" s="103"/>
      <x:c r="AU99" s="103"/>
      <x:c r="AV99" s="103"/>
      <x:c r="AW99" s="103"/>
      <x:c r="AX99" s="107"/>
      <x:c r="AY99" s="103"/>
      <x:c r="AZ99" s="103"/>
      <x:c r="BA99" s="103"/>
      <x:c r="BB99" s="103"/>
      <x:c r="BC99" s="107"/>
      <x:c r="BD99" s="107"/>
      <x:c r="BE99" s="107"/>
      <x:c r="BF99" s="107"/>
      <x:c r="BG99" s="103"/>
    </x:row>
    <x:row r="100" ht="20" customHeight="1">
      <x:c r="A100" s="103"/>
      <x:c r="B100" s="103"/>
      <x:c r="C100" s="103"/>
      <x:c r="D100" s="107"/>
      <x:c r="E100" s="103"/>
      <x:c r="F100" s="103"/>
      <x:c r="G100" s="107"/>
      <x:c r="H100" s="103"/>
      <x:c r="I100" s="103"/>
      <x:c r="J100" s="103"/>
      <x:c r="K100" s="103"/>
      <x:c r="L100" s="103"/>
      <x:c r="M100" s="103"/>
      <x:c r="N100" s="103"/>
      <x:c r="O100" s="103"/>
      <x:c r="P100" s="103"/>
      <x:c r="Q100" s="103"/>
      <x:c r="R100" s="103"/>
      <x:c r="S100" s="103"/>
      <x:c r="T100" s="103"/>
      <x:c r="U100" s="103"/>
      <x:c r="V100" s="105"/>
      <x:c r="W100" s="103"/>
      <x:c r="X100" s="103"/>
      <x:c r="Y100" s="107"/>
      <x:c r="Z100" s="105"/>
      <x:c r="AA100" s="105"/>
      <x:c r="AB100" s="105"/>
      <x:c r="AC100" s="105"/>
      <x:c r="AD100" s="105"/>
      <x:c r="AE100" s="105"/>
      <x:c r="AF100" s="105"/>
      <x:c r="AG100" s="105"/>
      <x:c r="AH100" s="105"/>
      <x:c r="AI100" s="105"/>
      <x:c r="AJ100" s="106" t="str">
        <x:f>IF(OR(AK100="",'設定'!$B$4=""),"",AK100*'設定'!$B$4)</x:f>
      </x:c>
      <x:c r="AK100" s="106" t="str">
        <x:f>IF(OR(AH100="",AI100=""),"",AH100+AI100)</x:f>
      </x:c>
      <x:c r="AL100" s="106" t="str">
        <x:f>IF(OR(A100="",V100="",AK100="",AJ100=""),"",SUM(V100,Z100:AG100,AJ100))</x:f>
      </x:c>
      <x:c r="AM100" s="106" t="str">
        <x:f>IF(OR(AK100="",AL100=""),"",AK100-AL100)</x:f>
      </x:c>
      <x:c r="AN100" s="104" t="str">
        <x:f>IF(A100="","",IF(OR(V100="",Q100="",R100="",S100="",E100="",AK100="",AJ100=""),"STOP: 必須未確認",IF(AM100&lt;=0,"STOP: 利益なし","要承認")))</x:f>
      </x:c>
      <x:c r="AO100" s="105"/>
      <x:c r="AP100" s="105"/>
      <x:c r="AQ100" s="106" t="str">
        <x:f>IF(OR(A100="",AO100="",AP100=""),"",AO100-AP100)</x:f>
      </x:c>
      <x:c r="AR100" s="103"/>
      <x:c r="AS100" s="103"/>
      <x:c r="AT100" s="103"/>
      <x:c r="AU100" s="103"/>
      <x:c r="AV100" s="103"/>
      <x:c r="AW100" s="103"/>
      <x:c r="AX100" s="107"/>
      <x:c r="AY100" s="103"/>
      <x:c r="AZ100" s="103"/>
      <x:c r="BA100" s="103"/>
      <x:c r="BB100" s="103"/>
      <x:c r="BC100" s="107"/>
      <x:c r="BD100" s="107"/>
      <x:c r="BE100" s="107"/>
      <x:c r="BF100" s="107"/>
      <x:c r="BG100" s="103"/>
    </x:row>
    <x:row r="101" ht="20" customHeight="1">
      <x:c r="A101" s="103"/>
      <x:c r="B101" s="103"/>
      <x:c r="C101" s="103"/>
      <x:c r="D101" s="107"/>
      <x:c r="E101" s="103"/>
      <x:c r="F101" s="103"/>
      <x:c r="G101" s="107"/>
      <x:c r="H101" s="103"/>
      <x:c r="I101" s="103"/>
      <x:c r="J101" s="103"/>
      <x:c r="K101" s="103"/>
      <x:c r="L101" s="103"/>
      <x:c r="M101" s="103"/>
      <x:c r="N101" s="103"/>
      <x:c r="O101" s="103"/>
      <x:c r="P101" s="103"/>
      <x:c r="Q101" s="103"/>
      <x:c r="R101" s="103"/>
      <x:c r="S101" s="103"/>
      <x:c r="T101" s="103"/>
      <x:c r="U101" s="103"/>
      <x:c r="V101" s="105"/>
      <x:c r="W101" s="103"/>
      <x:c r="X101" s="103"/>
      <x:c r="Y101" s="107"/>
      <x:c r="Z101" s="105"/>
      <x:c r="AA101" s="105"/>
      <x:c r="AB101" s="105"/>
      <x:c r="AC101" s="105"/>
      <x:c r="AD101" s="105"/>
      <x:c r="AE101" s="105"/>
      <x:c r="AF101" s="105"/>
      <x:c r="AG101" s="105"/>
      <x:c r="AH101" s="105"/>
      <x:c r="AI101" s="105"/>
      <x:c r="AJ101" s="106" t="str">
        <x:f>IF(OR(AK101="",'設定'!$B$4=""),"",AK101*'設定'!$B$4)</x:f>
      </x:c>
      <x:c r="AK101" s="106" t="str">
        <x:f>IF(OR(AH101="",AI101=""),"",AH101+AI101)</x:f>
      </x:c>
      <x:c r="AL101" s="106" t="str">
        <x:f>IF(OR(A101="",V101="",AK101="",AJ101=""),"",SUM(V101,Z101:AG101,AJ101))</x:f>
      </x:c>
      <x:c r="AM101" s="106" t="str">
        <x:f>IF(OR(AK101="",AL101=""),"",AK101-AL101)</x:f>
      </x:c>
      <x:c r="AN101" s="104" t="str">
        <x:f>IF(A101="","",IF(OR(V101="",Q101="",R101="",S101="",E101="",AK101="",AJ101=""),"STOP: 必須未確認",IF(AM101&lt;=0,"STOP: 利益なし","要承認")))</x:f>
      </x:c>
      <x:c r="AO101" s="105"/>
      <x:c r="AP101" s="105"/>
      <x:c r="AQ101" s="106" t="str">
        <x:f>IF(OR(A101="",AO101="",AP101=""),"",AO101-AP101)</x:f>
      </x:c>
      <x:c r="AR101" s="103"/>
      <x:c r="AS101" s="103"/>
      <x:c r="AT101" s="103"/>
      <x:c r="AU101" s="103"/>
      <x:c r="AV101" s="103"/>
      <x:c r="AW101" s="103"/>
      <x:c r="AX101" s="107"/>
      <x:c r="AY101" s="103"/>
      <x:c r="AZ101" s="103"/>
      <x:c r="BA101" s="103"/>
      <x:c r="BB101" s="103"/>
      <x:c r="BC101" s="107"/>
      <x:c r="BD101" s="107"/>
      <x:c r="BE101" s="107"/>
      <x:c r="BF101" s="107"/>
      <x:c r="BG101" s="103"/>
    </x:row>
    <x:row r="102" ht="20" customHeight="1">
      <x:c r="A102" s="103"/>
      <x:c r="B102" s="103"/>
      <x:c r="C102" s="103"/>
      <x:c r="D102" s="107"/>
      <x:c r="E102" s="103"/>
      <x:c r="F102" s="103"/>
      <x:c r="G102" s="107"/>
      <x:c r="H102" s="103"/>
      <x:c r="I102" s="103"/>
      <x:c r="J102" s="103"/>
      <x:c r="K102" s="103"/>
      <x:c r="L102" s="103"/>
      <x:c r="M102" s="103"/>
      <x:c r="N102" s="103"/>
      <x:c r="O102" s="103"/>
      <x:c r="P102" s="103"/>
      <x:c r="Q102" s="103"/>
      <x:c r="R102" s="103"/>
      <x:c r="S102" s="103"/>
      <x:c r="T102" s="103"/>
      <x:c r="U102" s="103"/>
      <x:c r="V102" s="105"/>
      <x:c r="W102" s="103"/>
      <x:c r="X102" s="103"/>
      <x:c r="Y102" s="107"/>
      <x:c r="Z102" s="105"/>
      <x:c r="AA102" s="105"/>
      <x:c r="AB102" s="105"/>
      <x:c r="AC102" s="105"/>
      <x:c r="AD102" s="105"/>
      <x:c r="AE102" s="105"/>
      <x:c r="AF102" s="105"/>
      <x:c r="AG102" s="105"/>
      <x:c r="AH102" s="105"/>
      <x:c r="AI102" s="105"/>
      <x:c r="AJ102" s="106" t="str">
        <x:f>IF(OR(AK102="",'設定'!$B$4=""),"",AK102*'設定'!$B$4)</x:f>
      </x:c>
      <x:c r="AK102" s="106" t="str">
        <x:f>IF(OR(AH102="",AI102=""),"",AH102+AI102)</x:f>
      </x:c>
      <x:c r="AL102" s="106" t="str">
        <x:f>IF(OR(A102="",V102="",AK102="",AJ102=""),"",SUM(V102,Z102:AG102,AJ102))</x:f>
      </x:c>
      <x:c r="AM102" s="106" t="str">
        <x:f>IF(OR(AK102="",AL102=""),"",AK102-AL102)</x:f>
      </x:c>
      <x:c r="AN102" s="104" t="str">
        <x:f>IF(A102="","",IF(OR(V102="",Q102="",R102="",S102="",E102="",AK102="",AJ102=""),"STOP: 必須未確認",IF(AM102&lt;=0,"STOP: 利益なし","要承認")))</x:f>
      </x:c>
      <x:c r="AO102" s="105"/>
      <x:c r="AP102" s="105"/>
      <x:c r="AQ102" s="106" t="str">
        <x:f>IF(OR(A102="",AO102="",AP102=""),"",AO102-AP102)</x:f>
      </x:c>
      <x:c r="AR102" s="103"/>
      <x:c r="AS102" s="103"/>
      <x:c r="AT102" s="103"/>
      <x:c r="AU102" s="103"/>
      <x:c r="AV102" s="103"/>
      <x:c r="AW102" s="103"/>
      <x:c r="AX102" s="107"/>
      <x:c r="AY102" s="103"/>
      <x:c r="AZ102" s="103"/>
      <x:c r="BA102" s="103"/>
      <x:c r="BB102" s="103"/>
      <x:c r="BC102" s="107"/>
      <x:c r="BD102" s="107"/>
      <x:c r="BE102" s="107"/>
      <x:c r="BF102" s="107"/>
      <x:c r="BG102" s="103"/>
    </x:row>
    <x:row r="103" ht="20" customHeight="1">
      <x:c r="A103" s="103"/>
      <x:c r="B103" s="103"/>
      <x:c r="C103" s="103"/>
      <x:c r="D103" s="107"/>
      <x:c r="E103" s="103"/>
      <x:c r="F103" s="103"/>
      <x:c r="G103" s="107"/>
      <x:c r="H103" s="103"/>
      <x:c r="I103" s="103"/>
      <x:c r="J103" s="103"/>
      <x:c r="K103" s="103"/>
      <x:c r="L103" s="103"/>
      <x:c r="M103" s="103"/>
      <x:c r="N103" s="103"/>
      <x:c r="O103" s="103"/>
      <x:c r="P103" s="103"/>
      <x:c r="Q103" s="103"/>
      <x:c r="R103" s="103"/>
      <x:c r="S103" s="103"/>
      <x:c r="T103" s="103"/>
      <x:c r="U103" s="103"/>
      <x:c r="V103" s="105"/>
      <x:c r="W103" s="103"/>
      <x:c r="X103" s="103"/>
      <x:c r="Y103" s="107"/>
      <x:c r="Z103" s="105"/>
      <x:c r="AA103" s="105"/>
      <x:c r="AB103" s="105"/>
      <x:c r="AC103" s="105"/>
      <x:c r="AD103" s="105"/>
      <x:c r="AE103" s="105"/>
      <x:c r="AF103" s="105"/>
      <x:c r="AG103" s="105"/>
      <x:c r="AH103" s="105"/>
      <x:c r="AI103" s="105"/>
      <x:c r="AJ103" s="106" t="str">
        <x:f>IF(OR(AK103="",'設定'!$B$4=""),"",AK103*'設定'!$B$4)</x:f>
      </x:c>
      <x:c r="AK103" s="106" t="str">
        <x:f>IF(OR(AH103="",AI103=""),"",AH103+AI103)</x:f>
      </x:c>
      <x:c r="AL103" s="106" t="str">
        <x:f>IF(OR(A103="",V103="",AK103="",AJ103=""),"",SUM(V103,Z103:AG103,AJ103))</x:f>
      </x:c>
      <x:c r="AM103" s="106" t="str">
        <x:f>IF(OR(AK103="",AL103=""),"",AK103-AL103)</x:f>
      </x:c>
      <x:c r="AN103" s="104" t="str">
        <x:f>IF(A103="","",IF(OR(V103="",Q103="",R103="",S103="",E103="",AK103="",AJ103=""),"STOP: 必須未確認",IF(AM103&lt;=0,"STOP: 利益なし","要承認")))</x:f>
      </x:c>
      <x:c r="AO103" s="105"/>
      <x:c r="AP103" s="105"/>
      <x:c r="AQ103" s="106" t="str">
        <x:f>IF(OR(A103="",AO103="",AP103=""),"",AO103-AP103)</x:f>
      </x:c>
      <x:c r="AR103" s="103"/>
      <x:c r="AS103" s="103"/>
      <x:c r="AT103" s="103"/>
      <x:c r="AU103" s="103"/>
      <x:c r="AV103" s="103"/>
      <x:c r="AW103" s="103"/>
      <x:c r="AX103" s="107"/>
      <x:c r="AY103" s="103"/>
      <x:c r="AZ103" s="103"/>
      <x:c r="BA103" s="103"/>
      <x:c r="BB103" s="103"/>
      <x:c r="BC103" s="107"/>
      <x:c r="BD103" s="107"/>
      <x:c r="BE103" s="107"/>
      <x:c r="BF103" s="107"/>
      <x:c r="BG103" s="103"/>
    </x:row>
    <x:row r="104" ht="20" customHeight="1">
      <x:c r="A104" s="103"/>
      <x:c r="B104" s="103"/>
      <x:c r="C104" s="103"/>
      <x:c r="D104" s="107"/>
      <x:c r="E104" s="103"/>
      <x:c r="F104" s="103"/>
      <x:c r="G104" s="107"/>
      <x:c r="H104" s="103"/>
      <x:c r="I104" s="103"/>
      <x:c r="J104" s="103"/>
      <x:c r="K104" s="103"/>
      <x:c r="L104" s="103"/>
      <x:c r="M104" s="103"/>
      <x:c r="N104" s="103"/>
      <x:c r="O104" s="103"/>
      <x:c r="P104" s="103"/>
      <x:c r="Q104" s="103"/>
      <x:c r="R104" s="103"/>
      <x:c r="S104" s="103"/>
      <x:c r="T104" s="103"/>
      <x:c r="U104" s="103"/>
      <x:c r="V104" s="105"/>
      <x:c r="W104" s="103"/>
      <x:c r="X104" s="103"/>
      <x:c r="Y104" s="107"/>
      <x:c r="Z104" s="105"/>
      <x:c r="AA104" s="105"/>
      <x:c r="AB104" s="105"/>
      <x:c r="AC104" s="105"/>
      <x:c r="AD104" s="105"/>
      <x:c r="AE104" s="105"/>
      <x:c r="AF104" s="105"/>
      <x:c r="AG104" s="105"/>
      <x:c r="AH104" s="105"/>
      <x:c r="AI104" s="105"/>
      <x:c r="AJ104" s="106" t="str">
        <x:f>IF(OR(AK104="",'設定'!$B$4=""),"",AK104*'設定'!$B$4)</x:f>
      </x:c>
      <x:c r="AK104" s="106" t="str">
        <x:f>IF(OR(AH104="",AI104=""),"",AH104+AI104)</x:f>
      </x:c>
      <x:c r="AL104" s="106" t="str">
        <x:f>IF(OR(A104="",V104="",AK104="",AJ104=""),"",SUM(V104,Z104:AG104,AJ104))</x:f>
      </x:c>
      <x:c r="AM104" s="106" t="str">
        <x:f>IF(OR(AK104="",AL104=""),"",AK104-AL104)</x:f>
      </x:c>
      <x:c r="AN104" s="104" t="str">
        <x:f>IF(A104="","",IF(OR(V104="",Q104="",R104="",S104="",E104="",AK104="",AJ104=""),"STOP: 必須未確認",IF(AM104&lt;=0,"STOP: 利益なし","要承認")))</x:f>
      </x:c>
      <x:c r="AO104" s="105"/>
      <x:c r="AP104" s="105"/>
      <x:c r="AQ104" s="106" t="str">
        <x:f>IF(OR(A104="",AO104="",AP104=""),"",AO104-AP104)</x:f>
      </x:c>
      <x:c r="AR104" s="103"/>
      <x:c r="AS104" s="103"/>
      <x:c r="AT104" s="103"/>
      <x:c r="AU104" s="103"/>
      <x:c r="AV104" s="103"/>
      <x:c r="AW104" s="103"/>
      <x:c r="AX104" s="107"/>
      <x:c r="AY104" s="103"/>
      <x:c r="AZ104" s="103"/>
      <x:c r="BA104" s="103"/>
      <x:c r="BB104" s="103"/>
      <x:c r="BC104" s="107"/>
      <x:c r="BD104" s="107"/>
      <x:c r="BE104" s="107"/>
      <x:c r="BF104" s="107"/>
      <x:c r="BG104" s="103"/>
    </x:row>
  </x:sheetData>
  <x:mergeCells>
    <x:mergeCell ref="A1:BG1"/>
    <x:mergeCell ref="A2:BG2"/>
  </x:mergeCells>
  <x:dataValidations count="2">
    <x:dataValidation type="list" sqref="B5:B104">
      <x:formula1>"候補,確認中,下書き,承認待ち,公開済み,停止"</x:formula1>
    </x:dataValidation>
    <x:dataValidation type="list" sqref="BB5:BB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出品管理の設定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現行率を自分の画面で確認して入力します。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公式確認先</x:v>
      </x:c>
      <x:c r="B6" s="8" t="str">
        <x:v>https://qa.buyma.com/shopper/</x:v>
      </x:c>
      <x:c r="C6" s="12" t="str">
        <x:v>禁止買付先、画像権利、出品項目も公開前に再確認します。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出品管理表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候補登録から公開前承認、見込利益、実績利益、更新日、情報管理までを1商品1行で管理します。購入者向け配送料を別に設定しない場合も配送料へ0を入力します。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円請求額へ含まれる商品代、送料、税、決済手数料等を『円請求額の含有済み費用』へ記録し、同じ費用を別列へ二重計上しません。</x:v>
      </x:c>
    </x:row>
    <x:row r="10" ht="32" customHeight="1">
      <x:c r="A10" s="15" t="str">
        <x:v>公式確認先 1</x:v>
      </x:c>
      <x:c r="B10" s="19" t="str">
        <x:v>https://qa.buyma.com/shopper/prohibited-item/4007.html</x:v>
      </x:c>
    </x:row>
    <x:row r="11" ht="32" customHeight="1">
      <x:c r="A11" s="15" t="str">
        <x:v>公式確認先 2</x:v>
      </x:c>
      <x:c r="B11" s="19" t="str">
        <x:v>https://qa.buyma.com/shopper/prohibited-item/15733.html</x:v>
      </x:c>
    </x:row>
    <x:row r="12" ht="32" customHeight="1">
      <x:c r="A12" s="15" t="str">
        <x:v>公式確認先 3</x:v>
      </x:c>
      <x:c r="B12" s="19" t="str">
        <x:v>https://qa.buyma.com/bm/usage-fee/4503.html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8" hidden="0" customWidth="1"/>
    <x:col min="4" max="4" width="14" hidden="0" customWidth="1"/>
    <x:col min="5" max="5" width="14" hidden="0" customWidth="1"/>
    <x:col min="6" max="6" width="13" hidden="0" customWidth="1"/>
    <x:col min="7" max="7" width="16" hidden="0" customWidth="1"/>
    <x:col min="8" max="8" width="13" hidden="0" customWidth="1"/>
    <x:col min="9" max="9" width="40" hidden="0" customWidth="1"/>
    <x:col min="10" max="10" width="14" hidden="0" customWidth="1"/>
    <x:col min="11" max="11" width="28" hidden="0" customWidth="1"/>
  </x:cols>
  <x:sheetData>
    <x:row r="1" ht="32" customHeight="1">
      <x:c r="A1" s="21" t="str">
        <x:v>関税・分類確認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4" customHeight="1">
      <x:c r="A2" s="24" t="str">
        <x:v>一律税率を使わず、商品分類・素材・原産国・発送国と公式根拠を記録します。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4" ht="42" customHeight="1">
      <x:c r="A4" s="32" t="str">
        <x:v>管理番号</x:v>
      </x:c>
      <x:c r="B4" s="32" t="str">
        <x:v>商品分類</x:v>
      </x:c>
      <x:c r="C4" s="32" t="str">
        <x:v>素材</x:v>
      </x:c>
      <x:c r="D4" s="32" t="str">
        <x:v>原産国</x:v>
      </x:c>
      <x:c r="E4" s="32" t="str">
        <x:v>発送国</x:v>
      </x:c>
      <x:c r="F4" s="32" t="str">
        <x:v>想定税率</x:v>
      </x:c>
      <x:c r="G4" s="32" t="str">
        <x:v>関税等見込額</x:v>
      </x:c>
      <x:c r="H4" s="32" t="str">
        <x:v>確認日</x:v>
      </x:c>
      <x:c r="I4" s="32" t="str">
        <x:v>根拠URL</x:v>
      </x:c>
      <x:c r="J4" s="32" t="str">
        <x:v>確認者</x:v>
      </x:c>
      <x:c r="K4" s="32" t="str">
        <x:v>備考</x:v>
      </x:c>
    </x:row>
    <x:row r="5">
      <x:c r="A5" s="33"/>
      <x:c r="B5" s="33"/>
      <x:c r="C5" s="33"/>
      <x:c r="D5" s="33"/>
      <x:c r="E5" s="33"/>
      <x:c r="F5" s="41"/>
      <x:c r="G5" s="41"/>
      <x:c r="H5" s="40"/>
      <x:c r="I5" s="33"/>
      <x:c r="J5" s="33"/>
      <x:c r="K5" s="33"/>
    </x:row>
    <x:row r="6">
      <x:c r="A6" s="33"/>
      <x:c r="B6" s="33"/>
      <x:c r="C6" s="33"/>
      <x:c r="D6" s="33"/>
      <x:c r="E6" s="33"/>
      <x:c r="F6" s="41"/>
      <x:c r="G6" s="41"/>
      <x:c r="H6" s="40"/>
      <x:c r="I6" s="33"/>
      <x:c r="J6" s="33"/>
      <x:c r="K6" s="33"/>
    </x:row>
    <x:row r="7">
      <x:c r="A7" s="33"/>
      <x:c r="B7" s="33"/>
      <x:c r="C7" s="33"/>
      <x:c r="D7" s="33"/>
      <x:c r="E7" s="33"/>
      <x:c r="F7" s="41"/>
      <x:c r="G7" s="41"/>
      <x:c r="H7" s="40"/>
      <x:c r="I7" s="33"/>
      <x:c r="J7" s="33"/>
      <x:c r="K7" s="33"/>
    </x:row>
    <x:row r="8">
      <x:c r="A8" s="33"/>
      <x:c r="B8" s="33"/>
      <x:c r="C8" s="33"/>
      <x:c r="D8" s="33"/>
      <x:c r="E8" s="33"/>
      <x:c r="F8" s="41"/>
      <x:c r="G8" s="41"/>
      <x:c r="H8" s="40"/>
      <x:c r="I8" s="33"/>
      <x:c r="J8" s="33"/>
      <x:c r="K8" s="33"/>
    </x:row>
    <x:row r="9">
      <x:c r="A9" s="33"/>
      <x:c r="B9" s="33"/>
      <x:c r="C9" s="33"/>
      <x:c r="D9" s="33"/>
      <x:c r="E9" s="33"/>
      <x:c r="F9" s="41"/>
      <x:c r="G9" s="41"/>
      <x:c r="H9" s="40"/>
      <x:c r="I9" s="33"/>
      <x:c r="J9" s="33"/>
      <x:c r="K9" s="33"/>
    </x:row>
    <x:row r="10">
      <x:c r="A10" s="33"/>
      <x:c r="B10" s="33"/>
      <x:c r="C10" s="33"/>
      <x:c r="D10" s="33"/>
      <x:c r="E10" s="33"/>
      <x:c r="F10" s="41"/>
      <x:c r="G10" s="41"/>
      <x:c r="H10" s="40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41"/>
      <x:c r="G11" s="41"/>
      <x:c r="H11" s="40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41"/>
      <x:c r="G12" s="41"/>
      <x:c r="H12" s="40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41"/>
      <x:c r="G13" s="41"/>
      <x:c r="H13" s="40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41"/>
      <x:c r="G14" s="41"/>
      <x:c r="H14" s="40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41"/>
      <x:c r="G15" s="41"/>
      <x:c r="H15" s="40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41"/>
      <x:c r="G16" s="41"/>
      <x:c r="H16" s="40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41"/>
      <x:c r="G17" s="41"/>
      <x:c r="H17" s="40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41"/>
      <x:c r="G18" s="41"/>
      <x:c r="H18" s="40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41"/>
      <x:c r="G19" s="41"/>
      <x:c r="H19" s="40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41"/>
      <x:c r="G20" s="41"/>
      <x:c r="H20" s="40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41"/>
      <x:c r="G21" s="41"/>
      <x:c r="H21" s="40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41"/>
      <x:c r="G22" s="41"/>
      <x:c r="H22" s="40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41"/>
      <x:c r="G23" s="41"/>
      <x:c r="H23" s="40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41"/>
      <x:c r="G24" s="41"/>
      <x:c r="H24" s="40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41"/>
      <x:c r="G25" s="41"/>
      <x:c r="H25" s="40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41"/>
      <x:c r="G26" s="41"/>
      <x:c r="H26" s="40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41"/>
      <x:c r="G27" s="41"/>
      <x:c r="H27" s="40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41"/>
      <x:c r="G28" s="41"/>
      <x:c r="H28" s="40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41"/>
      <x:c r="G29" s="41"/>
      <x:c r="H29" s="40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41"/>
      <x:c r="G30" s="41"/>
      <x:c r="H30" s="40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41"/>
      <x:c r="G31" s="41"/>
      <x:c r="H31" s="40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41"/>
      <x:c r="G32" s="41"/>
      <x:c r="H32" s="40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41"/>
      <x:c r="G33" s="41"/>
      <x:c r="H33" s="40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41"/>
      <x:c r="G34" s="41"/>
      <x:c r="H34" s="40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41"/>
      <x:c r="G35" s="41"/>
      <x:c r="H35" s="40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41"/>
      <x:c r="G36" s="41"/>
      <x:c r="H36" s="40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41"/>
      <x:c r="G37" s="41"/>
      <x:c r="H37" s="40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41"/>
      <x:c r="G38" s="41"/>
      <x:c r="H38" s="40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41"/>
      <x:c r="G39" s="41"/>
      <x:c r="H39" s="40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41"/>
      <x:c r="G40" s="41"/>
      <x:c r="H40" s="40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41"/>
      <x:c r="G41" s="41"/>
      <x:c r="H41" s="40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41"/>
      <x:c r="G42" s="41"/>
      <x:c r="H42" s="40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41"/>
      <x:c r="G43" s="41"/>
      <x:c r="H43" s="40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41"/>
      <x:c r="G44" s="41"/>
      <x:c r="H44" s="40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41"/>
      <x:c r="G45" s="41"/>
      <x:c r="H45" s="40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41"/>
      <x:c r="G46" s="41"/>
      <x:c r="H46" s="40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41"/>
      <x:c r="G47" s="41"/>
      <x:c r="H47" s="40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41"/>
      <x:c r="G48" s="41"/>
      <x:c r="H48" s="40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41"/>
      <x:c r="G49" s="41"/>
      <x:c r="H49" s="40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41"/>
      <x:c r="G50" s="41"/>
      <x:c r="H50" s="40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41"/>
      <x:c r="G51" s="41"/>
      <x:c r="H51" s="40"/>
      <x:c r="I51" s="33"/>
      <x:c r="J51" s="33"/>
      <x:c r="K51" s="33"/>
    </x:row>
    <x:row r="52">
      <x:c r="A52" s="33"/>
      <x:c r="B52" s="33"/>
      <x:c r="C52" s="33"/>
      <x:c r="D52" s="33"/>
      <x:c r="E52" s="33"/>
      <x:c r="F52" s="41"/>
      <x:c r="G52" s="41"/>
      <x:c r="H52" s="40"/>
      <x:c r="I52" s="33"/>
      <x:c r="J52" s="33"/>
      <x:c r="K52" s="33"/>
    </x:row>
    <x:row r="53">
      <x:c r="A53" s="33"/>
      <x:c r="B53" s="33"/>
      <x:c r="C53" s="33"/>
      <x:c r="D53" s="33"/>
      <x:c r="E53" s="33"/>
      <x:c r="F53" s="41"/>
      <x:c r="G53" s="41"/>
      <x:c r="H53" s="40"/>
      <x:c r="I53" s="33"/>
      <x:c r="J53" s="33"/>
      <x:c r="K53" s="33"/>
    </x:row>
    <x:row r="54">
      <x:c r="A54" s="33"/>
      <x:c r="B54" s="33"/>
      <x:c r="C54" s="33"/>
      <x:c r="D54" s="33"/>
      <x:c r="E54" s="33"/>
      <x:c r="F54" s="41"/>
      <x:c r="G54" s="41"/>
      <x:c r="H54" s="40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41"/>
      <x:c r="G55" s="41"/>
      <x:c r="H55" s="40"/>
      <x:c r="I55" s="33"/>
      <x:c r="J55" s="33"/>
      <x:c r="K55" s="33"/>
    </x:row>
    <x:row r="56">
      <x:c r="A56" s="33"/>
      <x:c r="B56" s="33"/>
      <x:c r="C56" s="33"/>
      <x:c r="D56" s="33"/>
      <x:c r="E56" s="33"/>
      <x:c r="F56" s="41"/>
      <x:c r="G56" s="41"/>
      <x:c r="H56" s="40"/>
      <x:c r="I56" s="33"/>
      <x:c r="J56" s="33"/>
      <x:c r="K56" s="33"/>
    </x:row>
    <x:row r="57">
      <x:c r="A57" s="33"/>
      <x:c r="B57" s="33"/>
      <x:c r="C57" s="33"/>
      <x:c r="D57" s="33"/>
      <x:c r="E57" s="33"/>
      <x:c r="F57" s="41"/>
      <x:c r="G57" s="41"/>
      <x:c r="H57" s="40"/>
      <x:c r="I57" s="33"/>
      <x:c r="J57" s="33"/>
      <x:c r="K57" s="33"/>
    </x:row>
    <x:row r="58">
      <x:c r="A58" s="33"/>
      <x:c r="B58" s="33"/>
      <x:c r="C58" s="33"/>
      <x:c r="D58" s="33"/>
      <x:c r="E58" s="33"/>
      <x:c r="F58" s="41"/>
      <x:c r="G58" s="41"/>
      <x:c r="H58" s="40"/>
      <x:c r="I58" s="33"/>
      <x:c r="J58" s="33"/>
      <x:c r="K58" s="33"/>
    </x:row>
    <x:row r="59">
      <x:c r="A59" s="33"/>
      <x:c r="B59" s="33"/>
      <x:c r="C59" s="33"/>
      <x:c r="D59" s="33"/>
      <x:c r="E59" s="33"/>
      <x:c r="F59" s="41"/>
      <x:c r="G59" s="41"/>
      <x:c r="H59" s="40"/>
      <x:c r="I59" s="33"/>
      <x:c r="J59" s="33"/>
      <x:c r="K59" s="33"/>
    </x:row>
    <x:row r="60">
      <x:c r="A60" s="33"/>
      <x:c r="B60" s="33"/>
      <x:c r="C60" s="33"/>
      <x:c r="D60" s="33"/>
      <x:c r="E60" s="33"/>
      <x:c r="F60" s="41"/>
      <x:c r="G60" s="41"/>
      <x:c r="H60" s="40"/>
      <x:c r="I60" s="33"/>
      <x:c r="J60" s="33"/>
      <x:c r="K60" s="33"/>
    </x:row>
    <x:row r="61">
      <x:c r="A61" s="33"/>
      <x:c r="B61" s="33"/>
      <x:c r="C61" s="33"/>
      <x:c r="D61" s="33"/>
      <x:c r="E61" s="33"/>
      <x:c r="F61" s="41"/>
      <x:c r="G61" s="41"/>
      <x:c r="H61" s="40"/>
      <x:c r="I61" s="33"/>
      <x:c r="J61" s="33"/>
      <x:c r="K61" s="33"/>
    </x:row>
    <x:row r="62">
      <x:c r="A62" s="33"/>
      <x:c r="B62" s="33"/>
      <x:c r="C62" s="33"/>
      <x:c r="D62" s="33"/>
      <x:c r="E62" s="33"/>
      <x:c r="F62" s="41"/>
      <x:c r="G62" s="41"/>
      <x:c r="H62" s="40"/>
      <x:c r="I62" s="33"/>
      <x:c r="J62" s="33"/>
      <x:c r="K62" s="33"/>
    </x:row>
    <x:row r="63">
      <x:c r="A63" s="33"/>
      <x:c r="B63" s="33"/>
      <x:c r="C63" s="33"/>
      <x:c r="D63" s="33"/>
      <x:c r="E63" s="33"/>
      <x:c r="F63" s="41"/>
      <x:c r="G63" s="41"/>
      <x:c r="H63" s="40"/>
      <x:c r="I63" s="33"/>
      <x:c r="J63" s="33"/>
      <x:c r="K63" s="33"/>
    </x:row>
    <x:row r="64">
      <x:c r="A64" s="33"/>
      <x:c r="B64" s="33"/>
      <x:c r="C64" s="33"/>
      <x:c r="D64" s="33"/>
      <x:c r="E64" s="33"/>
      <x:c r="F64" s="41"/>
      <x:c r="G64" s="41"/>
      <x:c r="H64" s="40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41"/>
      <x:c r="G65" s="41"/>
      <x:c r="H65" s="40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41"/>
      <x:c r="G66" s="41"/>
      <x:c r="H66" s="40"/>
      <x:c r="I66" s="33"/>
      <x:c r="J66" s="33"/>
      <x:c r="K66" s="33"/>
    </x:row>
    <x:row r="67">
      <x:c r="A67" s="33"/>
      <x:c r="B67" s="33"/>
      <x:c r="C67" s="33"/>
      <x:c r="D67" s="33"/>
      <x:c r="E67" s="33"/>
      <x:c r="F67" s="41"/>
      <x:c r="G67" s="41"/>
      <x:c r="H67" s="40"/>
      <x:c r="I67" s="33"/>
      <x:c r="J67" s="33"/>
      <x:c r="K67" s="33"/>
    </x:row>
    <x:row r="68">
      <x:c r="A68" s="33"/>
      <x:c r="B68" s="33"/>
      <x:c r="C68" s="33"/>
      <x:c r="D68" s="33"/>
      <x:c r="E68" s="33"/>
      <x:c r="F68" s="41"/>
      <x:c r="G68" s="41"/>
      <x:c r="H68" s="40"/>
      <x:c r="I68" s="33"/>
      <x:c r="J68" s="33"/>
      <x:c r="K68" s="33"/>
    </x:row>
    <x:row r="69">
      <x:c r="A69" s="33"/>
      <x:c r="B69" s="33"/>
      <x:c r="C69" s="33"/>
      <x:c r="D69" s="33"/>
      <x:c r="E69" s="33"/>
      <x:c r="F69" s="41"/>
      <x:c r="G69" s="41"/>
      <x:c r="H69" s="40"/>
      <x:c r="I69" s="33"/>
      <x:c r="J69" s="33"/>
      <x:c r="K69" s="33"/>
    </x:row>
    <x:row r="70">
      <x:c r="A70" s="33"/>
      <x:c r="B70" s="33"/>
      <x:c r="C70" s="33"/>
      <x:c r="D70" s="33"/>
      <x:c r="E70" s="33"/>
      <x:c r="F70" s="41"/>
      <x:c r="G70" s="41"/>
      <x:c r="H70" s="40"/>
      <x:c r="I70" s="33"/>
      <x:c r="J70" s="33"/>
      <x:c r="K70" s="33"/>
    </x:row>
    <x:row r="71">
      <x:c r="A71" s="33"/>
      <x:c r="B71" s="33"/>
      <x:c r="C71" s="33"/>
      <x:c r="D71" s="33"/>
      <x:c r="E71" s="33"/>
      <x:c r="F71" s="41"/>
      <x:c r="G71" s="41"/>
      <x:c r="H71" s="40"/>
      <x:c r="I71" s="33"/>
      <x:c r="J71" s="33"/>
      <x:c r="K71" s="33"/>
    </x:row>
    <x:row r="72">
      <x:c r="A72" s="33"/>
      <x:c r="B72" s="33"/>
      <x:c r="C72" s="33"/>
      <x:c r="D72" s="33"/>
      <x:c r="E72" s="33"/>
      <x:c r="F72" s="41"/>
      <x:c r="G72" s="41"/>
      <x:c r="H72" s="40"/>
      <x:c r="I72" s="33"/>
      <x:c r="J72" s="33"/>
      <x:c r="K72" s="33"/>
    </x:row>
    <x:row r="73">
      <x:c r="A73" s="33"/>
      <x:c r="B73" s="33"/>
      <x:c r="C73" s="33"/>
      <x:c r="D73" s="33"/>
      <x:c r="E73" s="33"/>
      <x:c r="F73" s="41"/>
      <x:c r="G73" s="41"/>
      <x:c r="H73" s="40"/>
      <x:c r="I73" s="33"/>
      <x:c r="J73" s="33"/>
      <x:c r="K73" s="33"/>
    </x:row>
    <x:row r="74">
      <x:c r="A74" s="33"/>
      <x:c r="B74" s="33"/>
      <x:c r="C74" s="33"/>
      <x:c r="D74" s="33"/>
      <x:c r="E74" s="33"/>
      <x:c r="F74" s="41"/>
      <x:c r="G74" s="41"/>
      <x:c r="H74" s="40"/>
      <x:c r="I74" s="33"/>
      <x:c r="J74" s="33"/>
      <x:c r="K74" s="33"/>
    </x:row>
    <x:row r="75">
      <x:c r="A75" s="33"/>
      <x:c r="B75" s="33"/>
      <x:c r="C75" s="33"/>
      <x:c r="D75" s="33"/>
      <x:c r="E75" s="33"/>
      <x:c r="F75" s="41"/>
      <x:c r="G75" s="41"/>
      <x:c r="H75" s="40"/>
      <x:c r="I75" s="33"/>
      <x:c r="J75" s="33"/>
      <x:c r="K75" s="33"/>
    </x:row>
    <x:row r="76">
      <x:c r="A76" s="33"/>
      <x:c r="B76" s="33"/>
      <x:c r="C76" s="33"/>
      <x:c r="D76" s="33"/>
      <x:c r="E76" s="33"/>
      <x:c r="F76" s="41"/>
      <x:c r="G76" s="41"/>
      <x:c r="H76" s="40"/>
      <x:c r="I76" s="33"/>
      <x:c r="J76" s="33"/>
      <x:c r="K76" s="33"/>
    </x:row>
    <x:row r="77">
      <x:c r="A77" s="33"/>
      <x:c r="B77" s="33"/>
      <x:c r="C77" s="33"/>
      <x:c r="D77" s="33"/>
      <x:c r="E77" s="33"/>
      <x:c r="F77" s="41"/>
      <x:c r="G77" s="41"/>
      <x:c r="H77" s="40"/>
      <x:c r="I77" s="33"/>
      <x:c r="J77" s="33"/>
      <x:c r="K77" s="33"/>
    </x:row>
    <x:row r="78">
      <x:c r="A78" s="33"/>
      <x:c r="B78" s="33"/>
      <x:c r="C78" s="33"/>
      <x:c r="D78" s="33"/>
      <x:c r="E78" s="33"/>
      <x:c r="F78" s="41"/>
      <x:c r="G78" s="41"/>
      <x:c r="H78" s="40"/>
      <x:c r="I78" s="33"/>
      <x:c r="J78" s="33"/>
      <x:c r="K78" s="33"/>
    </x:row>
    <x:row r="79">
      <x:c r="A79" s="33"/>
      <x:c r="B79" s="33"/>
      <x:c r="C79" s="33"/>
      <x:c r="D79" s="33"/>
      <x:c r="E79" s="33"/>
      <x:c r="F79" s="41"/>
      <x:c r="G79" s="41"/>
      <x:c r="H79" s="40"/>
      <x:c r="I79" s="33"/>
      <x:c r="J79" s="33"/>
      <x:c r="K79" s="33"/>
    </x:row>
    <x:row r="80">
      <x:c r="A80" s="33"/>
      <x:c r="B80" s="33"/>
      <x:c r="C80" s="33"/>
      <x:c r="D80" s="33"/>
      <x:c r="E80" s="33"/>
      <x:c r="F80" s="41"/>
      <x:c r="G80" s="41"/>
      <x:c r="H80" s="40"/>
      <x:c r="I80" s="33"/>
      <x:c r="J80" s="33"/>
      <x:c r="K80" s="33"/>
    </x:row>
    <x:row r="81">
      <x:c r="A81" s="33"/>
      <x:c r="B81" s="33"/>
      <x:c r="C81" s="33"/>
      <x:c r="D81" s="33"/>
      <x:c r="E81" s="33"/>
      <x:c r="F81" s="41"/>
      <x:c r="G81" s="41"/>
      <x:c r="H81" s="40"/>
      <x:c r="I81" s="33"/>
      <x:c r="J81" s="33"/>
      <x:c r="K81" s="33"/>
    </x:row>
    <x:row r="82">
      <x:c r="A82" s="33"/>
      <x:c r="B82" s="33"/>
      <x:c r="C82" s="33"/>
      <x:c r="D82" s="33"/>
      <x:c r="E82" s="33"/>
      <x:c r="F82" s="41"/>
      <x:c r="G82" s="41"/>
      <x:c r="H82" s="40"/>
      <x:c r="I82" s="33"/>
      <x:c r="J82" s="33"/>
      <x:c r="K82" s="33"/>
    </x:row>
    <x:row r="83">
      <x:c r="A83" s="33"/>
      <x:c r="B83" s="33"/>
      <x:c r="C83" s="33"/>
      <x:c r="D83" s="33"/>
      <x:c r="E83" s="33"/>
      <x:c r="F83" s="41"/>
      <x:c r="G83" s="41"/>
      <x:c r="H83" s="40"/>
      <x:c r="I83" s="33"/>
      <x:c r="J83" s="33"/>
      <x:c r="K83" s="33"/>
    </x:row>
    <x:row r="84">
      <x:c r="A84" s="33"/>
      <x:c r="B84" s="33"/>
      <x:c r="C84" s="33"/>
      <x:c r="D84" s="33"/>
      <x:c r="E84" s="33"/>
      <x:c r="F84" s="41"/>
      <x:c r="G84" s="41"/>
      <x:c r="H84" s="40"/>
      <x:c r="I84" s="33"/>
      <x:c r="J84" s="33"/>
      <x:c r="K84" s="33"/>
    </x:row>
    <x:row r="85">
      <x:c r="A85" s="33"/>
      <x:c r="B85" s="33"/>
      <x:c r="C85" s="33"/>
      <x:c r="D85" s="33"/>
      <x:c r="E85" s="33"/>
      <x:c r="F85" s="41"/>
      <x:c r="G85" s="41"/>
      <x:c r="H85" s="40"/>
      <x:c r="I85" s="33"/>
      <x:c r="J85" s="33"/>
      <x:c r="K85" s="33"/>
    </x:row>
    <x:row r="86">
      <x:c r="A86" s="33"/>
      <x:c r="B86" s="33"/>
      <x:c r="C86" s="33"/>
      <x:c r="D86" s="33"/>
      <x:c r="E86" s="33"/>
      <x:c r="F86" s="41"/>
      <x:c r="G86" s="41"/>
      <x:c r="H86" s="40"/>
      <x:c r="I86" s="33"/>
      <x:c r="J86" s="33"/>
      <x:c r="K86" s="33"/>
    </x:row>
    <x:row r="87">
      <x:c r="A87" s="33"/>
      <x:c r="B87" s="33"/>
      <x:c r="C87" s="33"/>
      <x:c r="D87" s="33"/>
      <x:c r="E87" s="33"/>
      <x:c r="F87" s="41"/>
      <x:c r="G87" s="41"/>
      <x:c r="H87" s="40"/>
      <x:c r="I87" s="33"/>
      <x:c r="J87" s="33"/>
      <x:c r="K87" s="33"/>
    </x:row>
    <x:row r="88">
      <x:c r="A88" s="33"/>
      <x:c r="B88" s="33"/>
      <x:c r="C88" s="33"/>
      <x:c r="D88" s="33"/>
      <x:c r="E88" s="33"/>
      <x:c r="F88" s="41"/>
      <x:c r="G88" s="41"/>
      <x:c r="H88" s="40"/>
      <x:c r="I88" s="33"/>
      <x:c r="J88" s="33"/>
      <x:c r="K88" s="33"/>
    </x:row>
    <x:row r="89">
      <x:c r="A89" s="33"/>
      <x:c r="B89" s="33"/>
      <x:c r="C89" s="33"/>
      <x:c r="D89" s="33"/>
      <x:c r="E89" s="33"/>
      <x:c r="F89" s="41"/>
      <x:c r="G89" s="41"/>
      <x:c r="H89" s="40"/>
      <x:c r="I89" s="33"/>
      <x:c r="J89" s="33"/>
      <x:c r="K89" s="33"/>
    </x:row>
    <x:row r="90">
      <x:c r="A90" s="33"/>
      <x:c r="B90" s="33"/>
      <x:c r="C90" s="33"/>
      <x:c r="D90" s="33"/>
      <x:c r="E90" s="33"/>
      <x:c r="F90" s="41"/>
      <x:c r="G90" s="41"/>
      <x:c r="H90" s="40"/>
      <x:c r="I90" s="33"/>
      <x:c r="J90" s="33"/>
      <x:c r="K90" s="33"/>
    </x:row>
    <x:row r="91">
      <x:c r="A91" s="33"/>
      <x:c r="B91" s="33"/>
      <x:c r="C91" s="33"/>
      <x:c r="D91" s="33"/>
      <x:c r="E91" s="33"/>
      <x:c r="F91" s="41"/>
      <x:c r="G91" s="41"/>
      <x:c r="H91" s="40"/>
      <x:c r="I91" s="33"/>
      <x:c r="J91" s="33"/>
      <x:c r="K91" s="33"/>
    </x:row>
    <x:row r="92">
      <x:c r="A92" s="33"/>
      <x:c r="B92" s="33"/>
      <x:c r="C92" s="33"/>
      <x:c r="D92" s="33"/>
      <x:c r="E92" s="33"/>
      <x:c r="F92" s="41"/>
      <x:c r="G92" s="41"/>
      <x:c r="H92" s="40"/>
      <x:c r="I92" s="33"/>
      <x:c r="J92" s="33"/>
      <x:c r="K92" s="33"/>
    </x:row>
    <x:row r="93">
      <x:c r="A93" s="33"/>
      <x:c r="B93" s="33"/>
      <x:c r="C93" s="33"/>
      <x:c r="D93" s="33"/>
      <x:c r="E93" s="33"/>
      <x:c r="F93" s="41"/>
      <x:c r="G93" s="41"/>
      <x:c r="H93" s="40"/>
      <x:c r="I93" s="33"/>
      <x:c r="J93" s="33"/>
      <x:c r="K93" s="33"/>
    </x:row>
    <x:row r="94">
      <x:c r="A94" s="33"/>
      <x:c r="B94" s="33"/>
      <x:c r="C94" s="33"/>
      <x:c r="D94" s="33"/>
      <x:c r="E94" s="33"/>
      <x:c r="F94" s="41"/>
      <x:c r="G94" s="41"/>
      <x:c r="H94" s="40"/>
      <x:c r="I94" s="33"/>
      <x:c r="J94" s="33"/>
      <x:c r="K94" s="33"/>
    </x:row>
    <x:row r="95">
      <x:c r="A95" s="33"/>
      <x:c r="B95" s="33"/>
      <x:c r="C95" s="33"/>
      <x:c r="D95" s="33"/>
      <x:c r="E95" s="33"/>
      <x:c r="F95" s="41"/>
      <x:c r="G95" s="41"/>
      <x:c r="H95" s="40"/>
      <x:c r="I95" s="33"/>
      <x:c r="J95" s="33"/>
      <x:c r="K95" s="33"/>
    </x:row>
    <x:row r="96">
      <x:c r="A96" s="33"/>
      <x:c r="B96" s="33"/>
      <x:c r="C96" s="33"/>
      <x:c r="D96" s="33"/>
      <x:c r="E96" s="33"/>
      <x:c r="F96" s="41"/>
      <x:c r="G96" s="41"/>
      <x:c r="H96" s="40"/>
      <x:c r="I96" s="33"/>
      <x:c r="J96" s="33"/>
      <x:c r="K96" s="33"/>
    </x:row>
    <x:row r="97">
      <x:c r="A97" s="33"/>
      <x:c r="B97" s="33"/>
      <x:c r="C97" s="33"/>
      <x:c r="D97" s="33"/>
      <x:c r="E97" s="33"/>
      <x:c r="F97" s="41"/>
      <x:c r="G97" s="41"/>
      <x:c r="H97" s="40"/>
      <x:c r="I97" s="33"/>
      <x:c r="J97" s="33"/>
      <x:c r="K97" s="33"/>
    </x:row>
    <x:row r="98">
      <x:c r="A98" s="33"/>
      <x:c r="B98" s="33"/>
      <x:c r="C98" s="33"/>
      <x:c r="D98" s="33"/>
      <x:c r="E98" s="33"/>
      <x:c r="F98" s="41"/>
      <x:c r="G98" s="41"/>
      <x:c r="H98" s="40"/>
      <x:c r="I98" s="33"/>
      <x:c r="J98" s="33"/>
      <x:c r="K98" s="33"/>
    </x:row>
    <x:row r="99">
      <x:c r="A99" s="33"/>
      <x:c r="B99" s="33"/>
      <x:c r="C99" s="33"/>
      <x:c r="D99" s="33"/>
      <x:c r="E99" s="33"/>
      <x:c r="F99" s="41"/>
      <x:c r="G99" s="41"/>
      <x:c r="H99" s="40"/>
      <x:c r="I99" s="33"/>
      <x:c r="J99" s="33"/>
      <x:c r="K99" s="33"/>
    </x:row>
    <x:row r="100">
      <x:c r="A100" s="33"/>
      <x:c r="B100" s="33"/>
      <x:c r="C100" s="33"/>
      <x:c r="D100" s="33"/>
      <x:c r="E100" s="33"/>
      <x:c r="F100" s="41"/>
      <x:c r="G100" s="41"/>
      <x:c r="H100" s="40"/>
      <x:c r="I100" s="33"/>
      <x:c r="J100" s="33"/>
      <x:c r="K100" s="33"/>
    </x:row>
    <x:row r="101">
      <x:c r="A101" s="33"/>
      <x:c r="B101" s="33"/>
      <x:c r="C101" s="33"/>
      <x:c r="D101" s="33"/>
      <x:c r="E101" s="33"/>
      <x:c r="F101" s="41"/>
      <x:c r="G101" s="41"/>
      <x:c r="H101" s="40"/>
      <x:c r="I101" s="33"/>
      <x:c r="J101" s="33"/>
      <x:c r="K101" s="33"/>
    </x:row>
    <x:row r="102">
      <x:c r="A102" s="33"/>
      <x:c r="B102" s="33"/>
      <x:c r="C102" s="33"/>
      <x:c r="D102" s="33"/>
      <x:c r="E102" s="33"/>
      <x:c r="F102" s="41"/>
      <x:c r="G102" s="41"/>
      <x:c r="H102" s="40"/>
      <x:c r="I102" s="33"/>
      <x:c r="J102" s="33"/>
      <x:c r="K102" s="33"/>
    </x:row>
    <x:row r="103">
      <x:c r="A103" s="33"/>
      <x:c r="B103" s="33"/>
      <x:c r="C103" s="33"/>
      <x:c r="D103" s="33"/>
      <x:c r="E103" s="33"/>
      <x:c r="F103" s="41"/>
      <x:c r="G103" s="41"/>
      <x:c r="H103" s="40"/>
      <x:c r="I103" s="33"/>
      <x:c r="J103" s="33"/>
      <x:c r="K103" s="33"/>
    </x:row>
    <x:row r="104">
      <x:c r="A104" s="33"/>
      <x:c r="B104" s="33"/>
      <x:c r="C104" s="33"/>
      <x:c r="D104" s="33"/>
      <x:c r="E104" s="33"/>
      <x:c r="F104" s="41"/>
      <x:c r="G104" s="41"/>
      <x:c r="H104" s="40"/>
      <x:c r="I104" s="33"/>
      <x:c r="J104" s="33"/>
      <x:c r="K104" s="33"/>
    </x:row>
  </x:sheetData>
  <x:mergeCells>
    <x:mergeCell ref="A1:K1"/>
    <x:mergeCell ref="A2:K2"/>
  </x:mergeCells>
  <x:pageMargins left="0.7" right="0.7" top="0.75" bottom="0.75" header="0.3" footer="0.3"/>
</x:worksheet>
</file>